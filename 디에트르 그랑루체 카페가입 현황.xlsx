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83c78119de5211/kakao_scraper/"/>
    </mc:Choice>
  </mc:AlternateContent>
  <xr:revisionPtr revIDLastSave="7" documentId="11_F4EBB7CFB76A3F4E69681D2542B90731363476CF" xr6:coauthVersionLast="47" xr6:coauthVersionMax="47" xr10:uidLastSave="{8C398DF7-AC22-4AB9-B586-EA4C1C724875}"/>
  <bookViews>
    <workbookView xWindow="-108" yWindow="-108" windowWidth="23256" windowHeight="12576" activeTab="2" xr2:uid="{00000000-000D-0000-FFFF-FFFF00000000}"/>
  </bookViews>
  <sheets>
    <sheet name="주요사이트" sheetId="8" r:id="rId1"/>
    <sheet name="카페가입요약" sheetId="2" r:id="rId2"/>
    <sheet name="카페동별상세" sheetId="4" r:id="rId3"/>
    <sheet name="raw" sheetId="3" r:id="rId4"/>
    <sheet name="동호 코드" sheetId="5" r:id="rId5"/>
  </sheets>
  <definedNames>
    <definedName name="_xlnm._FilterDatabase" localSheetId="3" hidden="1">raw!$A$1:$D$265</definedName>
    <definedName name="_xlnm._FilterDatabase" localSheetId="4" hidden="1">'동호 코드'!$A$2:$F$1472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52" i="3"/>
  <c r="J19" i="4" l="1"/>
  <c r="H19" i="4"/>
  <c r="F19" i="4"/>
  <c r="D19" i="4"/>
  <c r="I19" i="4"/>
  <c r="G19" i="4"/>
  <c r="E19" i="4"/>
  <c r="C19" i="4"/>
  <c r="B19" i="4"/>
  <c r="K38" i="5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E188" i="5"/>
  <c r="E382" i="5"/>
  <c r="E574" i="5"/>
  <c r="E722" i="5"/>
  <c r="E911" i="5"/>
  <c r="E943" i="5"/>
  <c r="E975" i="5"/>
  <c r="E1007" i="5"/>
  <c r="E1039" i="5"/>
  <c r="E1071" i="5"/>
  <c r="E1103" i="5"/>
  <c r="E1135" i="5"/>
  <c r="E1167" i="5"/>
  <c r="E1199" i="5"/>
  <c r="E1231" i="5"/>
  <c r="E1246" i="5"/>
  <c r="E1263" i="5"/>
  <c r="E1278" i="5"/>
  <c r="E1310" i="5"/>
  <c r="E1327" i="5"/>
  <c r="E1342" i="5"/>
  <c r="E1375" i="5"/>
  <c r="E1383" i="5"/>
  <c r="E1391" i="5"/>
  <c r="E1396" i="5"/>
  <c r="E1399" i="5"/>
  <c r="E1404" i="5"/>
  <c r="E1407" i="5"/>
  <c r="E1412" i="5"/>
  <c r="E1415" i="5"/>
  <c r="E1420" i="5"/>
  <c r="E1423" i="5"/>
  <c r="E1428" i="5"/>
  <c r="E1431" i="5"/>
  <c r="E1439" i="5"/>
  <c r="E1447" i="5"/>
  <c r="E1455" i="5"/>
  <c r="E1463" i="5"/>
  <c r="E1471" i="5"/>
  <c r="C3" i="5"/>
  <c r="D1472" i="5"/>
  <c r="D1471" i="5"/>
  <c r="D1470" i="5"/>
  <c r="D1469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388" i="5"/>
  <c r="E1388" i="5" s="1"/>
  <c r="D1387" i="5"/>
  <c r="D1386" i="5"/>
  <c r="D1385" i="5"/>
  <c r="D1384" i="5"/>
  <c r="D1383" i="5"/>
  <c r="D1382" i="5"/>
  <c r="D1381" i="5"/>
  <c r="D1380" i="5"/>
  <c r="E1380" i="5" s="1"/>
  <c r="D1379" i="5"/>
  <c r="D1378" i="5"/>
  <c r="D1377" i="5"/>
  <c r="D1376" i="5"/>
  <c r="D1375" i="5"/>
  <c r="D1374" i="5"/>
  <c r="D1373" i="5"/>
  <c r="D1372" i="5"/>
  <c r="E1372" i="5" s="1"/>
  <c r="D1371" i="5"/>
  <c r="D1370" i="5"/>
  <c r="D1369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39" i="5"/>
  <c r="D538" i="5"/>
  <c r="D537" i="5"/>
  <c r="D536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68" i="5"/>
  <c r="D1367" i="5"/>
  <c r="E1367" i="5" s="1"/>
  <c r="D1366" i="5"/>
  <c r="D1365" i="5"/>
  <c r="D1364" i="5"/>
  <c r="D1363" i="5"/>
  <c r="D1362" i="5"/>
  <c r="D1361" i="5"/>
  <c r="D1360" i="5"/>
  <c r="D1359" i="5"/>
  <c r="E1359" i="5" s="1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E1295" i="5" s="1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E3" i="5" s="1"/>
  <c r="C4" i="5"/>
  <c r="E4" i="5" s="1"/>
  <c r="C5" i="5"/>
  <c r="E5" i="5" s="1"/>
  <c r="C6" i="5"/>
  <c r="C7" i="5"/>
  <c r="E7" i="5" s="1"/>
  <c r="C8" i="5"/>
  <c r="E8" i="5" s="1"/>
  <c r="C9" i="5"/>
  <c r="C10" i="5"/>
  <c r="C11" i="5"/>
  <c r="E11" i="5" s="1"/>
  <c r="C12" i="5"/>
  <c r="E12" i="5" s="1"/>
  <c r="C13" i="5"/>
  <c r="E13" i="5" s="1"/>
  <c r="C14" i="5"/>
  <c r="E14" i="5" s="1"/>
  <c r="C15" i="5"/>
  <c r="E15" i="5" s="1"/>
  <c r="C16" i="5"/>
  <c r="E16" i="5" s="1"/>
  <c r="C17" i="5"/>
  <c r="E17" i="5" s="1"/>
  <c r="C18" i="5"/>
  <c r="C19" i="5"/>
  <c r="E19" i="5" s="1"/>
  <c r="C20" i="5"/>
  <c r="E20" i="5" s="1"/>
  <c r="C21" i="5"/>
  <c r="E21" i="5" s="1"/>
  <c r="C22" i="5"/>
  <c r="C23" i="5"/>
  <c r="E23" i="5" s="1"/>
  <c r="C24" i="5"/>
  <c r="E24" i="5" s="1"/>
  <c r="C25" i="5"/>
  <c r="E25" i="5" s="1"/>
  <c r="C26" i="5"/>
  <c r="C27" i="5"/>
  <c r="E27" i="5" s="1"/>
  <c r="C28" i="5"/>
  <c r="E28" i="5" s="1"/>
  <c r="C29" i="5"/>
  <c r="E29" i="5" s="1"/>
  <c r="C30" i="5"/>
  <c r="C31" i="5"/>
  <c r="E31" i="5" s="1"/>
  <c r="C32" i="5"/>
  <c r="E32" i="5" s="1"/>
  <c r="C33" i="5"/>
  <c r="E33" i="5" s="1"/>
  <c r="C34" i="5"/>
  <c r="E34" i="5" s="1"/>
  <c r="C35" i="5"/>
  <c r="E35" i="5" s="1"/>
  <c r="C36" i="5"/>
  <c r="E36" i="5" s="1"/>
  <c r="C37" i="5"/>
  <c r="C38" i="5"/>
  <c r="E38" i="5" s="1"/>
  <c r="C39" i="5"/>
  <c r="E39" i="5" s="1"/>
  <c r="C40" i="5"/>
  <c r="E40" i="5" s="1"/>
  <c r="C41" i="5"/>
  <c r="E41" i="5" s="1"/>
  <c r="C42" i="5"/>
  <c r="C43" i="5"/>
  <c r="E43" i="5" s="1"/>
  <c r="C44" i="5"/>
  <c r="E44" i="5" s="1"/>
  <c r="C45" i="5"/>
  <c r="C46" i="5"/>
  <c r="E46" i="5" s="1"/>
  <c r="C47" i="5"/>
  <c r="E47" i="5" s="1"/>
  <c r="C48" i="5"/>
  <c r="E48" i="5" s="1"/>
  <c r="C49" i="5"/>
  <c r="E49" i="5" s="1"/>
  <c r="C50" i="5"/>
  <c r="C51" i="5"/>
  <c r="E51" i="5" s="1"/>
  <c r="C52" i="5"/>
  <c r="E52" i="5" s="1"/>
  <c r="C53" i="5"/>
  <c r="C54" i="5"/>
  <c r="E54" i="5" s="1"/>
  <c r="C55" i="5"/>
  <c r="C56" i="5"/>
  <c r="E56" i="5" s="1"/>
  <c r="C57" i="5"/>
  <c r="E57" i="5" s="1"/>
  <c r="C58" i="5"/>
  <c r="C59" i="5"/>
  <c r="E59" i="5" s="1"/>
  <c r="C60" i="5"/>
  <c r="E60" i="5" s="1"/>
  <c r="C61" i="5"/>
  <c r="E61" i="5" s="1"/>
  <c r="C62" i="5"/>
  <c r="E62" i="5" s="1"/>
  <c r="C63" i="5"/>
  <c r="C64" i="5"/>
  <c r="E64" i="5" s="1"/>
  <c r="C65" i="5"/>
  <c r="E65" i="5" s="1"/>
  <c r="C66" i="5"/>
  <c r="C67" i="5"/>
  <c r="E67" i="5" s="1"/>
  <c r="C68" i="5"/>
  <c r="E68" i="5" s="1"/>
  <c r="C69" i="5"/>
  <c r="E69" i="5" s="1"/>
  <c r="C70" i="5"/>
  <c r="E70" i="5" s="1"/>
  <c r="C71" i="5"/>
  <c r="E71" i="5" s="1"/>
  <c r="C72" i="5"/>
  <c r="E72" i="5" s="1"/>
  <c r="C73" i="5"/>
  <c r="E73" i="5" s="1"/>
  <c r="C74" i="5"/>
  <c r="C75" i="5"/>
  <c r="E75" i="5" s="1"/>
  <c r="C76" i="5"/>
  <c r="E76" i="5" s="1"/>
  <c r="C77" i="5"/>
  <c r="E77" i="5" s="1"/>
  <c r="C78" i="5"/>
  <c r="E78" i="5" s="1"/>
  <c r="C79" i="5"/>
  <c r="C80" i="5"/>
  <c r="E80" i="5" s="1"/>
  <c r="C81" i="5"/>
  <c r="E81" i="5" s="1"/>
  <c r="C82" i="5"/>
  <c r="C83" i="5"/>
  <c r="E83" i="5" s="1"/>
  <c r="C84" i="5"/>
  <c r="E84" i="5" s="1"/>
  <c r="C85" i="5"/>
  <c r="E85" i="5" s="1"/>
  <c r="C86" i="5"/>
  <c r="E86" i="5" s="1"/>
  <c r="C87" i="5"/>
  <c r="C88" i="5"/>
  <c r="E88" i="5" s="1"/>
  <c r="C89" i="5"/>
  <c r="E89" i="5" s="1"/>
  <c r="C90" i="5"/>
  <c r="C91" i="5"/>
  <c r="E91" i="5" s="1"/>
  <c r="C92" i="5"/>
  <c r="E92" i="5" s="1"/>
  <c r="C93" i="5"/>
  <c r="E93" i="5" s="1"/>
  <c r="C94" i="5"/>
  <c r="C95" i="5"/>
  <c r="E95" i="5" s="1"/>
  <c r="C96" i="5"/>
  <c r="E96" i="5" s="1"/>
  <c r="C97" i="5"/>
  <c r="C98" i="5"/>
  <c r="E98" i="5" s="1"/>
  <c r="C99" i="5"/>
  <c r="E99" i="5" s="1"/>
  <c r="C100" i="5"/>
  <c r="E100" i="5" s="1"/>
  <c r="C101" i="5"/>
  <c r="E101" i="5" s="1"/>
  <c r="C102" i="5"/>
  <c r="C103" i="5"/>
  <c r="E103" i="5" s="1"/>
  <c r="C104" i="5"/>
  <c r="E104" i="5" s="1"/>
  <c r="C105" i="5"/>
  <c r="C106" i="5"/>
  <c r="E106" i="5" s="1"/>
  <c r="C107" i="5"/>
  <c r="E107" i="5" s="1"/>
  <c r="C108" i="5"/>
  <c r="E108" i="5" s="1"/>
  <c r="C109" i="5"/>
  <c r="E109" i="5" s="1"/>
  <c r="C110" i="5"/>
  <c r="C111" i="5"/>
  <c r="E111" i="5" s="1"/>
  <c r="C112" i="5"/>
  <c r="E112" i="5" s="1"/>
  <c r="C113" i="5"/>
  <c r="E113" i="5" s="1"/>
  <c r="C114" i="5"/>
  <c r="E114" i="5" s="1"/>
  <c r="C115" i="5"/>
  <c r="E115" i="5" s="1"/>
  <c r="C116" i="5"/>
  <c r="E116" i="5" s="1"/>
  <c r="C117" i="5"/>
  <c r="E117" i="5" s="1"/>
  <c r="C118" i="5"/>
  <c r="C119" i="5"/>
  <c r="E119" i="5" s="1"/>
  <c r="C120" i="5"/>
  <c r="E120" i="5" s="1"/>
  <c r="C121" i="5"/>
  <c r="E121" i="5" s="1"/>
  <c r="C122" i="5"/>
  <c r="E122" i="5" s="1"/>
  <c r="C123" i="5"/>
  <c r="E123" i="5" s="1"/>
  <c r="C124" i="5"/>
  <c r="E124" i="5" s="1"/>
  <c r="C125" i="5"/>
  <c r="E125" i="5" s="1"/>
  <c r="C126" i="5"/>
  <c r="C127" i="5"/>
  <c r="E127" i="5" s="1"/>
  <c r="C128" i="5"/>
  <c r="E128" i="5" s="1"/>
  <c r="C129" i="5"/>
  <c r="E129" i="5" s="1"/>
  <c r="C130" i="5"/>
  <c r="E130" i="5" s="1"/>
  <c r="C131" i="5"/>
  <c r="E131" i="5" s="1"/>
  <c r="C132" i="5"/>
  <c r="E132" i="5" s="1"/>
  <c r="C133" i="5"/>
  <c r="E133" i="5" s="1"/>
  <c r="C134" i="5"/>
  <c r="C135" i="5"/>
  <c r="E135" i="5" s="1"/>
  <c r="C136" i="5"/>
  <c r="E136" i="5" s="1"/>
  <c r="C137" i="5"/>
  <c r="E137" i="5" s="1"/>
  <c r="C138" i="5"/>
  <c r="E138" i="5" s="1"/>
  <c r="C139" i="5"/>
  <c r="E139" i="5" s="1"/>
  <c r="C140" i="5"/>
  <c r="E140" i="5" s="1"/>
  <c r="C141" i="5"/>
  <c r="E141" i="5" s="1"/>
  <c r="C142" i="5"/>
  <c r="C143" i="5"/>
  <c r="E143" i="5" s="1"/>
  <c r="C144" i="5"/>
  <c r="E144" i="5" s="1"/>
  <c r="C145" i="5"/>
  <c r="E145" i="5" s="1"/>
  <c r="C146" i="5"/>
  <c r="E146" i="5" s="1"/>
  <c r="C147" i="5"/>
  <c r="E147" i="5" s="1"/>
  <c r="C148" i="5"/>
  <c r="E148" i="5" s="1"/>
  <c r="C149" i="5"/>
  <c r="C150" i="5"/>
  <c r="E150" i="5" s="1"/>
  <c r="C151" i="5"/>
  <c r="E151" i="5" s="1"/>
  <c r="C152" i="5"/>
  <c r="E152" i="5" s="1"/>
  <c r="C153" i="5"/>
  <c r="E153" i="5" s="1"/>
  <c r="C154" i="5"/>
  <c r="C155" i="5"/>
  <c r="E155" i="5" s="1"/>
  <c r="C156" i="5"/>
  <c r="E156" i="5" s="1"/>
  <c r="C157" i="5"/>
  <c r="C158" i="5"/>
  <c r="E158" i="5" s="1"/>
  <c r="C159" i="5"/>
  <c r="E159" i="5" s="1"/>
  <c r="C160" i="5"/>
  <c r="E160" i="5" s="1"/>
  <c r="C161" i="5"/>
  <c r="E161" i="5" s="1"/>
  <c r="C162" i="5"/>
  <c r="C163" i="5"/>
  <c r="E163" i="5" s="1"/>
  <c r="C164" i="5"/>
  <c r="E164" i="5" s="1"/>
  <c r="C165" i="5"/>
  <c r="C166" i="5"/>
  <c r="E166" i="5" s="1"/>
  <c r="C167" i="5"/>
  <c r="C168" i="5"/>
  <c r="E168" i="5" s="1"/>
  <c r="C169" i="5"/>
  <c r="E169" i="5" s="1"/>
  <c r="C170" i="5"/>
  <c r="C171" i="5"/>
  <c r="E171" i="5" s="1"/>
  <c r="C172" i="5"/>
  <c r="E172" i="5" s="1"/>
  <c r="C173" i="5"/>
  <c r="E173" i="5" s="1"/>
  <c r="C174" i="5"/>
  <c r="E174" i="5" s="1"/>
  <c r="C175" i="5"/>
  <c r="C176" i="5"/>
  <c r="E176" i="5" s="1"/>
  <c r="C177" i="5"/>
  <c r="E177" i="5" s="1"/>
  <c r="C178" i="5"/>
  <c r="C179" i="5"/>
  <c r="E179" i="5" s="1"/>
  <c r="C180" i="5"/>
  <c r="E180" i="5" s="1"/>
  <c r="C181" i="5"/>
  <c r="E181" i="5" s="1"/>
  <c r="C182" i="5"/>
  <c r="E182" i="5" s="1"/>
  <c r="C183" i="5"/>
  <c r="C184" i="5"/>
  <c r="E184" i="5" s="1"/>
  <c r="C185" i="5"/>
  <c r="E185" i="5" s="1"/>
  <c r="C186" i="5"/>
  <c r="C187" i="5"/>
  <c r="E187" i="5" s="1"/>
  <c r="C188" i="5"/>
  <c r="C189" i="5"/>
  <c r="E189" i="5" s="1"/>
  <c r="C190" i="5"/>
  <c r="E190" i="5" s="1"/>
  <c r="C191" i="5"/>
  <c r="C192" i="5"/>
  <c r="E192" i="5" s="1"/>
  <c r="C193" i="5"/>
  <c r="E193" i="5" s="1"/>
  <c r="C194" i="5"/>
  <c r="C195" i="5"/>
  <c r="E195" i="5" s="1"/>
  <c r="C196" i="5"/>
  <c r="E196" i="5" s="1"/>
  <c r="C197" i="5"/>
  <c r="E197" i="5" s="1"/>
  <c r="C198" i="5"/>
  <c r="E198" i="5" s="1"/>
  <c r="C199" i="5"/>
  <c r="C200" i="5"/>
  <c r="E200" i="5" s="1"/>
  <c r="C201" i="5"/>
  <c r="E201" i="5" s="1"/>
  <c r="C202" i="5"/>
  <c r="C203" i="5"/>
  <c r="E203" i="5" s="1"/>
  <c r="C204" i="5"/>
  <c r="E204" i="5" s="1"/>
  <c r="C205" i="5"/>
  <c r="E205" i="5" s="1"/>
  <c r="C206" i="5"/>
  <c r="C207" i="5"/>
  <c r="E207" i="5" s="1"/>
  <c r="C208" i="5"/>
  <c r="E208" i="5" s="1"/>
  <c r="C209" i="5"/>
  <c r="C210" i="5"/>
  <c r="E210" i="5" s="1"/>
  <c r="C211" i="5"/>
  <c r="E211" i="5" s="1"/>
  <c r="C212" i="5"/>
  <c r="E212" i="5" s="1"/>
  <c r="C213" i="5"/>
  <c r="E213" i="5" s="1"/>
  <c r="C214" i="5"/>
  <c r="C215" i="5"/>
  <c r="E215" i="5" s="1"/>
  <c r="C216" i="5"/>
  <c r="E216" i="5" s="1"/>
  <c r="C217" i="5"/>
  <c r="C218" i="5"/>
  <c r="E218" i="5" s="1"/>
  <c r="C219" i="5"/>
  <c r="E219" i="5" s="1"/>
  <c r="C220" i="5"/>
  <c r="E220" i="5" s="1"/>
  <c r="C221" i="5"/>
  <c r="E221" i="5" s="1"/>
  <c r="C222" i="5"/>
  <c r="C223" i="5"/>
  <c r="E223" i="5" s="1"/>
  <c r="C224" i="5"/>
  <c r="E224" i="5" s="1"/>
  <c r="C225" i="5"/>
  <c r="E225" i="5" s="1"/>
  <c r="C226" i="5"/>
  <c r="E226" i="5" s="1"/>
  <c r="C227" i="5"/>
  <c r="E227" i="5" s="1"/>
  <c r="C228" i="5"/>
  <c r="E228" i="5" s="1"/>
  <c r="C229" i="5"/>
  <c r="E229" i="5" s="1"/>
  <c r="C230" i="5"/>
  <c r="C231" i="5"/>
  <c r="E231" i="5" s="1"/>
  <c r="C232" i="5"/>
  <c r="E232" i="5" s="1"/>
  <c r="C233" i="5"/>
  <c r="E233" i="5" s="1"/>
  <c r="C234" i="5"/>
  <c r="E234" i="5" s="1"/>
  <c r="C235" i="5"/>
  <c r="E235" i="5" s="1"/>
  <c r="C236" i="5"/>
  <c r="E236" i="5" s="1"/>
  <c r="C237" i="5"/>
  <c r="E237" i="5" s="1"/>
  <c r="C238" i="5"/>
  <c r="C239" i="5"/>
  <c r="E239" i="5" s="1"/>
  <c r="C240" i="5"/>
  <c r="E240" i="5" s="1"/>
  <c r="C241" i="5"/>
  <c r="E241" i="5" s="1"/>
  <c r="C242" i="5"/>
  <c r="E242" i="5" s="1"/>
  <c r="C243" i="5"/>
  <c r="E243" i="5" s="1"/>
  <c r="C244" i="5"/>
  <c r="E244" i="5" s="1"/>
  <c r="C245" i="5"/>
  <c r="E245" i="5" s="1"/>
  <c r="C246" i="5"/>
  <c r="C247" i="5"/>
  <c r="E247" i="5" s="1"/>
  <c r="C248" i="5"/>
  <c r="E248" i="5" s="1"/>
  <c r="C249" i="5"/>
  <c r="E249" i="5" s="1"/>
  <c r="C250" i="5"/>
  <c r="E250" i="5" s="1"/>
  <c r="C251" i="5"/>
  <c r="E251" i="5" s="1"/>
  <c r="C252" i="5"/>
  <c r="E252" i="5" s="1"/>
  <c r="C253" i="5"/>
  <c r="E253" i="5" s="1"/>
  <c r="C254" i="5"/>
  <c r="C255" i="5"/>
  <c r="E255" i="5" s="1"/>
  <c r="C256" i="5"/>
  <c r="E256" i="5" s="1"/>
  <c r="C257" i="5"/>
  <c r="E257" i="5" s="1"/>
  <c r="C258" i="5"/>
  <c r="E258" i="5" s="1"/>
  <c r="C259" i="5"/>
  <c r="E259" i="5" s="1"/>
  <c r="C260" i="5"/>
  <c r="C261" i="5"/>
  <c r="E261" i="5" s="1"/>
  <c r="C262" i="5"/>
  <c r="E262" i="5" s="1"/>
  <c r="C263" i="5"/>
  <c r="E263" i="5" s="1"/>
  <c r="C264" i="5"/>
  <c r="E264" i="5" s="1"/>
  <c r="C265" i="5"/>
  <c r="C266" i="5"/>
  <c r="E266" i="5" s="1"/>
  <c r="C267" i="5"/>
  <c r="E267" i="5" s="1"/>
  <c r="C268" i="5"/>
  <c r="C269" i="5"/>
  <c r="E269" i="5" s="1"/>
  <c r="C270" i="5"/>
  <c r="E270" i="5" s="1"/>
  <c r="C271" i="5"/>
  <c r="E271" i="5" s="1"/>
  <c r="C272" i="5"/>
  <c r="E272" i="5" s="1"/>
  <c r="C273" i="5"/>
  <c r="C274" i="5"/>
  <c r="E274" i="5" s="1"/>
  <c r="C275" i="5"/>
  <c r="E275" i="5" s="1"/>
  <c r="C276" i="5"/>
  <c r="C277" i="5"/>
  <c r="E277" i="5" s="1"/>
  <c r="C278" i="5"/>
  <c r="C279" i="5"/>
  <c r="E279" i="5" s="1"/>
  <c r="C280" i="5"/>
  <c r="E280" i="5" s="1"/>
  <c r="C281" i="5"/>
  <c r="C282" i="5"/>
  <c r="E282" i="5" s="1"/>
  <c r="C283" i="5"/>
  <c r="E283" i="5" s="1"/>
  <c r="C284" i="5"/>
  <c r="E284" i="5" s="1"/>
  <c r="C285" i="5"/>
  <c r="E285" i="5" s="1"/>
  <c r="C286" i="5"/>
  <c r="C287" i="5"/>
  <c r="E287" i="5" s="1"/>
  <c r="C288" i="5"/>
  <c r="E288" i="5" s="1"/>
  <c r="C289" i="5"/>
  <c r="C290" i="5"/>
  <c r="E290" i="5" s="1"/>
  <c r="C291" i="5"/>
  <c r="E291" i="5" s="1"/>
  <c r="C292" i="5"/>
  <c r="E292" i="5" s="1"/>
  <c r="C293" i="5"/>
  <c r="E293" i="5" s="1"/>
  <c r="C294" i="5"/>
  <c r="C295" i="5"/>
  <c r="E295" i="5" s="1"/>
  <c r="C296" i="5"/>
  <c r="E296" i="5" s="1"/>
  <c r="C297" i="5"/>
  <c r="C298" i="5"/>
  <c r="E298" i="5" s="1"/>
  <c r="C299" i="5"/>
  <c r="E299" i="5" s="1"/>
  <c r="C300" i="5"/>
  <c r="E300" i="5" s="1"/>
  <c r="C301" i="5"/>
  <c r="E301" i="5" s="1"/>
  <c r="C302" i="5"/>
  <c r="C303" i="5"/>
  <c r="E303" i="5" s="1"/>
  <c r="C304" i="5"/>
  <c r="E304" i="5" s="1"/>
  <c r="C305" i="5"/>
  <c r="C306" i="5"/>
  <c r="E306" i="5" s="1"/>
  <c r="C307" i="5"/>
  <c r="E307" i="5" s="1"/>
  <c r="C308" i="5"/>
  <c r="E308" i="5" s="1"/>
  <c r="C309" i="5"/>
  <c r="E309" i="5" s="1"/>
  <c r="C310" i="5"/>
  <c r="C311" i="5"/>
  <c r="E311" i="5" s="1"/>
  <c r="C312" i="5"/>
  <c r="E312" i="5" s="1"/>
  <c r="C313" i="5"/>
  <c r="E313" i="5" s="1"/>
  <c r="C314" i="5"/>
  <c r="E314" i="5" s="1"/>
  <c r="C315" i="5"/>
  <c r="E315" i="5" s="1"/>
  <c r="C316" i="5"/>
  <c r="E316" i="5" s="1"/>
  <c r="C317" i="5"/>
  <c r="C318" i="5"/>
  <c r="E318" i="5" s="1"/>
  <c r="C319" i="5"/>
  <c r="E319" i="5" s="1"/>
  <c r="C320" i="5"/>
  <c r="E320" i="5" s="1"/>
  <c r="C321" i="5"/>
  <c r="E321" i="5" s="1"/>
  <c r="C322" i="5"/>
  <c r="E322" i="5" s="1"/>
  <c r="C323" i="5"/>
  <c r="E323" i="5" s="1"/>
  <c r="C324" i="5"/>
  <c r="E324" i="5" s="1"/>
  <c r="C325" i="5"/>
  <c r="C326" i="5"/>
  <c r="E326" i="5" s="1"/>
  <c r="C327" i="5"/>
  <c r="E327" i="5" s="1"/>
  <c r="C328" i="5"/>
  <c r="E328" i="5" s="1"/>
  <c r="C329" i="5"/>
  <c r="E329" i="5" s="1"/>
  <c r="C330" i="5"/>
  <c r="E330" i="5" s="1"/>
  <c r="C331" i="5"/>
  <c r="E331" i="5" s="1"/>
  <c r="C332" i="5"/>
  <c r="E332" i="5" s="1"/>
  <c r="C333" i="5"/>
  <c r="E333" i="5" s="1"/>
  <c r="C334" i="5"/>
  <c r="E334" i="5" s="1"/>
  <c r="C335" i="5"/>
  <c r="E335" i="5" s="1"/>
  <c r="C336" i="5"/>
  <c r="E336" i="5" s="1"/>
  <c r="C337" i="5"/>
  <c r="E337" i="5" s="1"/>
  <c r="C338" i="5"/>
  <c r="C339" i="5"/>
  <c r="E339" i="5" s="1"/>
  <c r="C340" i="5"/>
  <c r="E340" i="5" s="1"/>
  <c r="C341" i="5"/>
  <c r="C342" i="5"/>
  <c r="E342" i="5" s="1"/>
  <c r="C343" i="5"/>
  <c r="E343" i="5" s="1"/>
  <c r="C344" i="5"/>
  <c r="E344" i="5" s="1"/>
  <c r="C345" i="5"/>
  <c r="E345" i="5" s="1"/>
  <c r="C346" i="5"/>
  <c r="C347" i="5"/>
  <c r="E347" i="5" s="1"/>
  <c r="C348" i="5"/>
  <c r="E348" i="5" s="1"/>
  <c r="C349" i="5"/>
  <c r="C350" i="5"/>
  <c r="E350" i="5" s="1"/>
  <c r="C351" i="5"/>
  <c r="E351" i="5" s="1"/>
  <c r="C352" i="5"/>
  <c r="E352" i="5" s="1"/>
  <c r="C353" i="5"/>
  <c r="E353" i="5" s="1"/>
  <c r="C354" i="5"/>
  <c r="C355" i="5"/>
  <c r="E355" i="5" s="1"/>
  <c r="C356" i="5"/>
  <c r="E356" i="5" s="1"/>
  <c r="C357" i="5"/>
  <c r="C358" i="5"/>
  <c r="E358" i="5" s="1"/>
  <c r="C359" i="5"/>
  <c r="C360" i="5"/>
  <c r="E360" i="5" s="1"/>
  <c r="C361" i="5"/>
  <c r="E361" i="5" s="1"/>
  <c r="C362" i="5"/>
  <c r="C363" i="5"/>
  <c r="E363" i="5" s="1"/>
  <c r="C364" i="5"/>
  <c r="E364" i="5" s="1"/>
  <c r="C365" i="5"/>
  <c r="E365" i="5" s="1"/>
  <c r="C366" i="5"/>
  <c r="E366" i="5" s="1"/>
  <c r="C367" i="5"/>
  <c r="C368" i="5"/>
  <c r="E368" i="5" s="1"/>
  <c r="C369" i="5"/>
  <c r="E369" i="5" s="1"/>
  <c r="C370" i="5"/>
  <c r="C371" i="5"/>
  <c r="E371" i="5" s="1"/>
  <c r="C372" i="5"/>
  <c r="E372" i="5" s="1"/>
  <c r="C373" i="5"/>
  <c r="E373" i="5" s="1"/>
  <c r="C374" i="5"/>
  <c r="E374" i="5" s="1"/>
  <c r="C375" i="5"/>
  <c r="E375" i="5" s="1"/>
  <c r="C376" i="5"/>
  <c r="C377" i="5"/>
  <c r="E377" i="5" s="1"/>
  <c r="C378" i="5"/>
  <c r="E378" i="5" s="1"/>
  <c r="C379" i="5"/>
  <c r="E379" i="5" s="1"/>
  <c r="C380" i="5"/>
  <c r="E380" i="5" s="1"/>
  <c r="C381" i="5"/>
  <c r="E381" i="5" s="1"/>
  <c r="C382" i="5"/>
  <c r="C383" i="5"/>
  <c r="E383" i="5" s="1"/>
  <c r="C384" i="5"/>
  <c r="C385" i="5"/>
  <c r="E385" i="5" s="1"/>
  <c r="C386" i="5"/>
  <c r="E386" i="5" s="1"/>
  <c r="C387" i="5"/>
  <c r="E387" i="5" s="1"/>
  <c r="C388" i="5"/>
  <c r="E388" i="5" s="1"/>
  <c r="C389" i="5"/>
  <c r="E389" i="5" s="1"/>
  <c r="C390" i="5"/>
  <c r="E390" i="5" s="1"/>
  <c r="C391" i="5"/>
  <c r="E391" i="5" s="1"/>
  <c r="C392" i="5"/>
  <c r="C393" i="5"/>
  <c r="E393" i="5" s="1"/>
  <c r="C394" i="5"/>
  <c r="E394" i="5" s="1"/>
  <c r="C395" i="5"/>
  <c r="E395" i="5" s="1"/>
  <c r="C396" i="5"/>
  <c r="E396" i="5" s="1"/>
  <c r="C397" i="5"/>
  <c r="E397" i="5" s="1"/>
  <c r="C398" i="5"/>
  <c r="E398" i="5" s="1"/>
  <c r="C399" i="5"/>
  <c r="E399" i="5" s="1"/>
  <c r="C400" i="5"/>
  <c r="E400" i="5" s="1"/>
  <c r="C401" i="5"/>
  <c r="C402" i="5"/>
  <c r="E402" i="5" s="1"/>
  <c r="C403" i="5"/>
  <c r="E403" i="5" s="1"/>
  <c r="C404" i="5"/>
  <c r="C405" i="5"/>
  <c r="E405" i="5" s="1"/>
  <c r="C406" i="5"/>
  <c r="E406" i="5" s="1"/>
  <c r="C407" i="5"/>
  <c r="E407" i="5" s="1"/>
  <c r="C408" i="5"/>
  <c r="E408" i="5" s="1"/>
  <c r="C409" i="5"/>
  <c r="C410" i="5"/>
  <c r="E410" i="5" s="1"/>
  <c r="C411" i="5"/>
  <c r="E411" i="5" s="1"/>
  <c r="C412" i="5"/>
  <c r="C413" i="5"/>
  <c r="E413" i="5" s="1"/>
  <c r="C414" i="5"/>
  <c r="E414" i="5" s="1"/>
  <c r="C415" i="5"/>
  <c r="C416" i="5"/>
  <c r="E416" i="5" s="1"/>
  <c r="C417" i="5"/>
  <c r="E417" i="5" s="1"/>
  <c r="C418" i="5"/>
  <c r="E418" i="5" s="1"/>
  <c r="C419" i="5"/>
  <c r="E419" i="5" s="1"/>
  <c r="C420" i="5"/>
  <c r="C421" i="5"/>
  <c r="E421" i="5" s="1"/>
  <c r="C422" i="5"/>
  <c r="E422" i="5" s="1"/>
  <c r="C423" i="5"/>
  <c r="C424" i="5"/>
  <c r="E424" i="5" s="1"/>
  <c r="C425" i="5"/>
  <c r="E425" i="5" s="1"/>
  <c r="C426" i="5"/>
  <c r="E426" i="5" s="1"/>
  <c r="C427" i="5"/>
  <c r="E427" i="5" s="1"/>
  <c r="C428" i="5"/>
  <c r="C429" i="5"/>
  <c r="E429" i="5" s="1"/>
  <c r="C430" i="5"/>
  <c r="E430" i="5" s="1"/>
  <c r="C431" i="5"/>
  <c r="E431" i="5" s="1"/>
  <c r="C432" i="5"/>
  <c r="E432" i="5" s="1"/>
  <c r="C433" i="5"/>
  <c r="E433" i="5" s="1"/>
  <c r="C434" i="5"/>
  <c r="E434" i="5" s="1"/>
  <c r="C435" i="5"/>
  <c r="E435" i="5" s="1"/>
  <c r="C436" i="5"/>
  <c r="C437" i="5"/>
  <c r="E437" i="5" s="1"/>
  <c r="C438" i="5"/>
  <c r="C439" i="5"/>
  <c r="E439" i="5" s="1"/>
  <c r="C440" i="5"/>
  <c r="E440" i="5" s="1"/>
  <c r="C441" i="5"/>
  <c r="E441" i="5" s="1"/>
  <c r="C442" i="5"/>
  <c r="E442" i="5" s="1"/>
  <c r="C443" i="5"/>
  <c r="E443" i="5" s="1"/>
  <c r="C444" i="5"/>
  <c r="E444" i="5" s="1"/>
  <c r="C445" i="5"/>
  <c r="E445" i="5" s="1"/>
  <c r="C446" i="5"/>
  <c r="C447" i="5"/>
  <c r="E447" i="5" s="1"/>
  <c r="C448" i="5"/>
  <c r="E448" i="5" s="1"/>
  <c r="C449" i="5"/>
  <c r="E449" i="5" s="1"/>
  <c r="C450" i="5"/>
  <c r="E450" i="5" s="1"/>
  <c r="C451" i="5"/>
  <c r="E451" i="5" s="1"/>
  <c r="C452" i="5"/>
  <c r="E452" i="5" s="1"/>
  <c r="C453" i="5"/>
  <c r="E453" i="5" s="1"/>
  <c r="C454" i="5"/>
  <c r="C455" i="5"/>
  <c r="E455" i="5" s="1"/>
  <c r="C456" i="5"/>
  <c r="E456" i="5" s="1"/>
  <c r="C457" i="5"/>
  <c r="E457" i="5" s="1"/>
  <c r="C458" i="5"/>
  <c r="E458" i="5" s="1"/>
  <c r="C459" i="5"/>
  <c r="E459" i="5" s="1"/>
  <c r="C460" i="5"/>
  <c r="E460" i="5" s="1"/>
  <c r="C461" i="5"/>
  <c r="E461" i="5" s="1"/>
  <c r="C462" i="5"/>
  <c r="C463" i="5"/>
  <c r="E463" i="5" s="1"/>
  <c r="C464" i="5"/>
  <c r="E464" i="5" s="1"/>
  <c r="C465" i="5"/>
  <c r="E465" i="5" s="1"/>
  <c r="C466" i="5"/>
  <c r="E466" i="5" s="1"/>
  <c r="C467" i="5"/>
  <c r="E467" i="5" s="1"/>
  <c r="C468" i="5"/>
  <c r="E468" i="5" s="1"/>
  <c r="C469" i="5"/>
  <c r="E469" i="5" s="1"/>
  <c r="C470" i="5"/>
  <c r="C471" i="5"/>
  <c r="E471" i="5" s="1"/>
  <c r="C472" i="5"/>
  <c r="E472" i="5" s="1"/>
  <c r="C473" i="5"/>
  <c r="E473" i="5" s="1"/>
  <c r="C474" i="5"/>
  <c r="E474" i="5" s="1"/>
  <c r="C475" i="5"/>
  <c r="E475" i="5" s="1"/>
  <c r="C476" i="5"/>
  <c r="E476" i="5" s="1"/>
  <c r="C477" i="5"/>
  <c r="E477" i="5" s="1"/>
  <c r="C478" i="5"/>
  <c r="C479" i="5"/>
  <c r="E479" i="5" s="1"/>
  <c r="C480" i="5"/>
  <c r="E480" i="5" s="1"/>
  <c r="C481" i="5"/>
  <c r="E481" i="5" s="1"/>
  <c r="C482" i="5"/>
  <c r="E482" i="5" s="1"/>
  <c r="C483" i="5"/>
  <c r="E483" i="5" s="1"/>
  <c r="C484" i="5"/>
  <c r="E484" i="5" s="1"/>
  <c r="C485" i="5"/>
  <c r="E485" i="5" s="1"/>
  <c r="C486" i="5"/>
  <c r="E486" i="5" s="1"/>
  <c r="C487" i="5"/>
  <c r="C488" i="5"/>
  <c r="E488" i="5" s="1"/>
  <c r="C489" i="5"/>
  <c r="E489" i="5" s="1"/>
  <c r="C490" i="5"/>
  <c r="E490" i="5" s="1"/>
  <c r="C491" i="5"/>
  <c r="E491" i="5" s="1"/>
  <c r="C492" i="5"/>
  <c r="C493" i="5"/>
  <c r="E493" i="5" s="1"/>
  <c r="C494" i="5"/>
  <c r="E494" i="5" s="1"/>
  <c r="C495" i="5"/>
  <c r="C496" i="5"/>
  <c r="E496" i="5" s="1"/>
  <c r="C497" i="5"/>
  <c r="E497" i="5" s="1"/>
  <c r="C498" i="5"/>
  <c r="E498" i="5" s="1"/>
  <c r="C499" i="5"/>
  <c r="E499" i="5" s="1"/>
  <c r="C500" i="5"/>
  <c r="C501" i="5"/>
  <c r="E501" i="5" s="1"/>
  <c r="C502" i="5"/>
  <c r="E502" i="5" s="1"/>
  <c r="C503" i="5"/>
  <c r="E503" i="5" s="1"/>
  <c r="C504" i="5"/>
  <c r="E504" i="5" s="1"/>
  <c r="C505" i="5"/>
  <c r="E505" i="5" s="1"/>
  <c r="C506" i="5"/>
  <c r="E506" i="5" s="1"/>
  <c r="C507" i="5"/>
  <c r="E507" i="5" s="1"/>
  <c r="C508" i="5"/>
  <c r="E508" i="5" s="1"/>
  <c r="C509" i="5"/>
  <c r="C510" i="5"/>
  <c r="E510" i="5" s="1"/>
  <c r="C511" i="5"/>
  <c r="E511" i="5" s="1"/>
  <c r="C512" i="5"/>
  <c r="E512" i="5" s="1"/>
  <c r="C513" i="5"/>
  <c r="E513" i="5" s="1"/>
  <c r="C514" i="5"/>
  <c r="E514" i="5" s="1"/>
  <c r="C515" i="5"/>
  <c r="E515" i="5" s="1"/>
  <c r="C516" i="5"/>
  <c r="E516" i="5" s="1"/>
  <c r="C517" i="5"/>
  <c r="C518" i="5"/>
  <c r="E518" i="5" s="1"/>
  <c r="C519" i="5"/>
  <c r="E519" i="5" s="1"/>
  <c r="C520" i="5"/>
  <c r="E520" i="5" s="1"/>
  <c r="C521" i="5"/>
  <c r="E521" i="5" s="1"/>
  <c r="C522" i="5"/>
  <c r="E522" i="5" s="1"/>
  <c r="C523" i="5"/>
  <c r="E523" i="5" s="1"/>
  <c r="C524" i="5"/>
  <c r="E524" i="5" s="1"/>
  <c r="C525" i="5"/>
  <c r="C526" i="5"/>
  <c r="E526" i="5" s="1"/>
  <c r="C527" i="5"/>
  <c r="E527" i="5" s="1"/>
  <c r="C528" i="5"/>
  <c r="E528" i="5" s="1"/>
  <c r="C529" i="5"/>
  <c r="E529" i="5" s="1"/>
  <c r="C530" i="5"/>
  <c r="E530" i="5" s="1"/>
  <c r="C531" i="5"/>
  <c r="E531" i="5" s="1"/>
  <c r="C532" i="5"/>
  <c r="E532" i="5" s="1"/>
  <c r="C533" i="5"/>
  <c r="C534" i="5"/>
  <c r="E534" i="5" s="1"/>
  <c r="C535" i="5"/>
  <c r="E535" i="5" s="1"/>
  <c r="C536" i="5"/>
  <c r="E536" i="5" s="1"/>
  <c r="C537" i="5"/>
  <c r="E537" i="5" s="1"/>
  <c r="C538" i="5"/>
  <c r="E538" i="5" s="1"/>
  <c r="C539" i="5"/>
  <c r="E539" i="5" s="1"/>
  <c r="C540" i="5"/>
  <c r="C541" i="5"/>
  <c r="E541" i="5" s="1"/>
  <c r="C542" i="5"/>
  <c r="E542" i="5" s="1"/>
  <c r="C543" i="5"/>
  <c r="E543" i="5" s="1"/>
  <c r="C544" i="5"/>
  <c r="E544" i="5" s="1"/>
  <c r="C545" i="5"/>
  <c r="C546" i="5"/>
  <c r="E546" i="5" s="1"/>
  <c r="C547" i="5"/>
  <c r="E547" i="5" s="1"/>
  <c r="C548" i="5"/>
  <c r="C549" i="5"/>
  <c r="E549" i="5" s="1"/>
  <c r="C550" i="5"/>
  <c r="E550" i="5" s="1"/>
  <c r="C551" i="5"/>
  <c r="E551" i="5" s="1"/>
  <c r="C552" i="5"/>
  <c r="E552" i="5" s="1"/>
  <c r="C553" i="5"/>
  <c r="C554" i="5"/>
  <c r="E554" i="5" s="1"/>
  <c r="C555" i="5"/>
  <c r="E555" i="5" s="1"/>
  <c r="C556" i="5"/>
  <c r="C557" i="5"/>
  <c r="E557" i="5" s="1"/>
  <c r="C558" i="5"/>
  <c r="E558" i="5" s="1"/>
  <c r="C559" i="5"/>
  <c r="E559" i="5" s="1"/>
  <c r="C560" i="5"/>
  <c r="E560" i="5" s="1"/>
  <c r="C561" i="5"/>
  <c r="C562" i="5"/>
  <c r="E562" i="5" s="1"/>
  <c r="C563" i="5"/>
  <c r="E563" i="5" s="1"/>
  <c r="C564" i="5"/>
  <c r="C565" i="5"/>
  <c r="E565" i="5" s="1"/>
  <c r="C566" i="5"/>
  <c r="E566" i="5" s="1"/>
  <c r="C567" i="5"/>
  <c r="E567" i="5" s="1"/>
  <c r="C568" i="5"/>
  <c r="E568" i="5" s="1"/>
  <c r="C569" i="5"/>
  <c r="C570" i="5"/>
  <c r="E570" i="5" s="1"/>
  <c r="C571" i="5"/>
  <c r="E571" i="5" s="1"/>
  <c r="C572" i="5"/>
  <c r="C573" i="5"/>
  <c r="E573" i="5" s="1"/>
  <c r="C574" i="5"/>
  <c r="C575" i="5"/>
  <c r="E575" i="5" s="1"/>
  <c r="C576" i="5"/>
  <c r="E576" i="5" s="1"/>
  <c r="C577" i="5"/>
  <c r="C578" i="5"/>
  <c r="E578" i="5" s="1"/>
  <c r="C579" i="5"/>
  <c r="E579" i="5" s="1"/>
  <c r="C580" i="5"/>
  <c r="C581" i="5"/>
  <c r="E581" i="5" s="1"/>
  <c r="C582" i="5"/>
  <c r="E582" i="5" s="1"/>
  <c r="C583" i="5"/>
  <c r="E583" i="5" s="1"/>
  <c r="C584" i="5"/>
  <c r="E584" i="5" s="1"/>
  <c r="C585" i="5"/>
  <c r="C586" i="5"/>
  <c r="E586" i="5" s="1"/>
  <c r="C587" i="5"/>
  <c r="E587" i="5" s="1"/>
  <c r="C588" i="5"/>
  <c r="C589" i="5"/>
  <c r="E589" i="5" s="1"/>
  <c r="C590" i="5"/>
  <c r="E590" i="5" s="1"/>
  <c r="C591" i="5"/>
  <c r="E591" i="5" s="1"/>
  <c r="C592" i="5"/>
  <c r="E592" i="5" s="1"/>
  <c r="C593" i="5"/>
  <c r="C594" i="5"/>
  <c r="E594" i="5" s="1"/>
  <c r="C595" i="5"/>
  <c r="E595" i="5" s="1"/>
  <c r="C596" i="5"/>
  <c r="E596" i="5" s="1"/>
  <c r="C597" i="5"/>
  <c r="C598" i="5"/>
  <c r="E598" i="5" s="1"/>
  <c r="C599" i="5"/>
  <c r="E599" i="5" s="1"/>
  <c r="C600" i="5"/>
  <c r="E600" i="5" s="1"/>
  <c r="C601" i="5"/>
  <c r="E601" i="5" s="1"/>
  <c r="C602" i="5"/>
  <c r="E602" i="5" s="1"/>
  <c r="C603" i="5"/>
  <c r="E603" i="5" s="1"/>
  <c r="C604" i="5"/>
  <c r="E604" i="5" s="1"/>
  <c r="C605" i="5"/>
  <c r="C606" i="5"/>
  <c r="E606" i="5" s="1"/>
  <c r="C607" i="5"/>
  <c r="E607" i="5" s="1"/>
  <c r="C608" i="5"/>
  <c r="E608" i="5" s="1"/>
  <c r="C609" i="5"/>
  <c r="E609" i="5" s="1"/>
  <c r="C610" i="5"/>
  <c r="E610" i="5" s="1"/>
  <c r="C611" i="5"/>
  <c r="E611" i="5" s="1"/>
  <c r="C612" i="5"/>
  <c r="E612" i="5" s="1"/>
  <c r="C613" i="5"/>
  <c r="C614" i="5"/>
  <c r="E614" i="5" s="1"/>
  <c r="C615" i="5"/>
  <c r="E615" i="5" s="1"/>
  <c r="C616" i="5"/>
  <c r="E616" i="5" s="1"/>
  <c r="C617" i="5"/>
  <c r="E617" i="5" s="1"/>
  <c r="C618" i="5"/>
  <c r="E618" i="5" s="1"/>
  <c r="C619" i="5"/>
  <c r="E619" i="5" s="1"/>
  <c r="C620" i="5"/>
  <c r="E620" i="5" s="1"/>
  <c r="C621" i="5"/>
  <c r="C622" i="5"/>
  <c r="E622" i="5" s="1"/>
  <c r="C623" i="5"/>
  <c r="E623" i="5" s="1"/>
  <c r="C624" i="5"/>
  <c r="E624" i="5" s="1"/>
  <c r="C625" i="5"/>
  <c r="E625" i="5" s="1"/>
  <c r="C626" i="5"/>
  <c r="E626" i="5" s="1"/>
  <c r="C627" i="5"/>
  <c r="E627" i="5" s="1"/>
  <c r="C628" i="5"/>
  <c r="E628" i="5" s="1"/>
  <c r="C629" i="5"/>
  <c r="C630" i="5"/>
  <c r="E630" i="5" s="1"/>
  <c r="C631" i="5"/>
  <c r="E631" i="5" s="1"/>
  <c r="C632" i="5"/>
  <c r="E632" i="5" s="1"/>
  <c r="C633" i="5"/>
  <c r="E633" i="5" s="1"/>
  <c r="C634" i="5"/>
  <c r="E634" i="5" s="1"/>
  <c r="C635" i="5"/>
  <c r="E635" i="5" s="1"/>
  <c r="C636" i="5"/>
  <c r="E636" i="5" s="1"/>
  <c r="C637" i="5"/>
  <c r="C638" i="5"/>
  <c r="E638" i="5" s="1"/>
  <c r="C639" i="5"/>
  <c r="E639" i="5" s="1"/>
  <c r="C640" i="5"/>
  <c r="E640" i="5" s="1"/>
  <c r="C641" i="5"/>
  <c r="C642" i="5"/>
  <c r="E642" i="5" s="1"/>
  <c r="C643" i="5"/>
  <c r="E643" i="5" s="1"/>
  <c r="C644" i="5"/>
  <c r="E644" i="5" s="1"/>
  <c r="C645" i="5"/>
  <c r="E645" i="5" s="1"/>
  <c r="C646" i="5"/>
  <c r="C647" i="5"/>
  <c r="E647" i="5" s="1"/>
  <c r="C648" i="5"/>
  <c r="E648" i="5" s="1"/>
  <c r="C649" i="5"/>
  <c r="C650" i="5"/>
  <c r="E650" i="5" s="1"/>
  <c r="C651" i="5"/>
  <c r="E651" i="5" s="1"/>
  <c r="C652" i="5"/>
  <c r="E652" i="5" s="1"/>
  <c r="C653" i="5"/>
  <c r="E653" i="5" s="1"/>
  <c r="C654" i="5"/>
  <c r="C655" i="5"/>
  <c r="E655" i="5" s="1"/>
  <c r="C656" i="5"/>
  <c r="E656" i="5" s="1"/>
  <c r="C657" i="5"/>
  <c r="C658" i="5"/>
  <c r="E658" i="5" s="1"/>
  <c r="C659" i="5"/>
  <c r="E659" i="5" s="1"/>
  <c r="C660" i="5"/>
  <c r="E660" i="5" s="1"/>
  <c r="C661" i="5"/>
  <c r="E661" i="5" s="1"/>
  <c r="C662" i="5"/>
  <c r="C663" i="5"/>
  <c r="E663" i="5" s="1"/>
  <c r="C664" i="5"/>
  <c r="E664" i="5" s="1"/>
  <c r="C665" i="5"/>
  <c r="E665" i="5" s="1"/>
  <c r="C666" i="5"/>
  <c r="E666" i="5" s="1"/>
  <c r="C667" i="5"/>
  <c r="E667" i="5" s="1"/>
  <c r="C668" i="5"/>
  <c r="E668" i="5" s="1"/>
  <c r="C669" i="5"/>
  <c r="E669" i="5" s="1"/>
  <c r="C670" i="5"/>
  <c r="C671" i="5"/>
  <c r="E671" i="5" s="1"/>
  <c r="C672" i="5"/>
  <c r="E672" i="5" s="1"/>
  <c r="C673" i="5"/>
  <c r="E673" i="5" s="1"/>
  <c r="C674" i="5"/>
  <c r="E674" i="5" s="1"/>
  <c r="C675" i="5"/>
  <c r="E675" i="5" s="1"/>
  <c r="C676" i="5"/>
  <c r="E676" i="5" s="1"/>
  <c r="C677" i="5"/>
  <c r="E677" i="5" s="1"/>
  <c r="C678" i="5"/>
  <c r="C679" i="5"/>
  <c r="E679" i="5" s="1"/>
  <c r="C680" i="5"/>
  <c r="E680" i="5" s="1"/>
  <c r="C681" i="5"/>
  <c r="E681" i="5" s="1"/>
  <c r="C682" i="5"/>
  <c r="E682" i="5" s="1"/>
  <c r="C683" i="5"/>
  <c r="E683" i="5" s="1"/>
  <c r="C684" i="5"/>
  <c r="E684" i="5" s="1"/>
  <c r="C685" i="5"/>
  <c r="E685" i="5" s="1"/>
  <c r="C686" i="5"/>
  <c r="C687" i="5"/>
  <c r="E687" i="5" s="1"/>
  <c r="C688" i="5"/>
  <c r="E688" i="5" s="1"/>
  <c r="C689" i="5"/>
  <c r="E689" i="5" s="1"/>
  <c r="C690" i="5"/>
  <c r="E690" i="5" s="1"/>
  <c r="C691" i="5"/>
  <c r="E691" i="5" s="1"/>
  <c r="C692" i="5"/>
  <c r="E692" i="5" s="1"/>
  <c r="C693" i="5"/>
  <c r="E693" i="5" s="1"/>
  <c r="C694" i="5"/>
  <c r="C695" i="5"/>
  <c r="E695" i="5" s="1"/>
  <c r="C696" i="5"/>
  <c r="E696" i="5" s="1"/>
  <c r="C697" i="5"/>
  <c r="E697" i="5" s="1"/>
  <c r="C698" i="5"/>
  <c r="E698" i="5" s="1"/>
  <c r="C699" i="5"/>
  <c r="E699" i="5" s="1"/>
  <c r="C700" i="5"/>
  <c r="E700" i="5" s="1"/>
  <c r="C701" i="5"/>
  <c r="E701" i="5" s="1"/>
  <c r="C702" i="5"/>
  <c r="C703" i="5"/>
  <c r="E703" i="5" s="1"/>
  <c r="C704" i="5"/>
  <c r="E704" i="5" s="1"/>
  <c r="C705" i="5"/>
  <c r="E705" i="5" s="1"/>
  <c r="C706" i="5"/>
  <c r="E706" i="5" s="1"/>
  <c r="C707" i="5"/>
  <c r="E707" i="5" s="1"/>
  <c r="C708" i="5"/>
  <c r="E708" i="5" s="1"/>
  <c r="C709" i="5"/>
  <c r="E709" i="5" s="1"/>
  <c r="C710" i="5"/>
  <c r="C711" i="5"/>
  <c r="E711" i="5" s="1"/>
  <c r="C712" i="5"/>
  <c r="E712" i="5" s="1"/>
  <c r="C713" i="5"/>
  <c r="E713" i="5" s="1"/>
  <c r="C714" i="5"/>
  <c r="E714" i="5" s="1"/>
  <c r="C715" i="5"/>
  <c r="E715" i="5" s="1"/>
  <c r="C716" i="5"/>
  <c r="E716" i="5" s="1"/>
  <c r="C717" i="5"/>
  <c r="E717" i="5" s="1"/>
  <c r="C718" i="5"/>
  <c r="C719" i="5"/>
  <c r="E719" i="5" s="1"/>
  <c r="C720" i="5"/>
  <c r="E720" i="5" s="1"/>
  <c r="C721" i="5"/>
  <c r="E721" i="5" s="1"/>
  <c r="C722" i="5"/>
  <c r="C723" i="5"/>
  <c r="E723" i="5" s="1"/>
  <c r="C724" i="5"/>
  <c r="E724" i="5" s="1"/>
  <c r="C725" i="5"/>
  <c r="E725" i="5" s="1"/>
  <c r="C726" i="5"/>
  <c r="C727" i="5"/>
  <c r="E727" i="5" s="1"/>
  <c r="C728" i="5"/>
  <c r="E728" i="5" s="1"/>
  <c r="C729" i="5"/>
  <c r="E729" i="5" s="1"/>
  <c r="C730" i="5"/>
  <c r="E730" i="5" s="1"/>
  <c r="C731" i="5"/>
  <c r="E731" i="5" s="1"/>
  <c r="C732" i="5"/>
  <c r="E732" i="5" s="1"/>
  <c r="C733" i="5"/>
  <c r="E733" i="5" s="1"/>
  <c r="C734" i="5"/>
  <c r="E734" i="5" s="1"/>
  <c r="C735" i="5"/>
  <c r="C736" i="5"/>
  <c r="E736" i="5" s="1"/>
  <c r="C737" i="5"/>
  <c r="E737" i="5" s="1"/>
  <c r="C738" i="5"/>
  <c r="E738" i="5" s="1"/>
  <c r="C739" i="5"/>
  <c r="E739" i="5" s="1"/>
  <c r="C740" i="5"/>
  <c r="C741" i="5"/>
  <c r="E741" i="5" s="1"/>
  <c r="C742" i="5"/>
  <c r="E742" i="5" s="1"/>
  <c r="C743" i="5"/>
  <c r="C744" i="5"/>
  <c r="E744" i="5" s="1"/>
  <c r="C745" i="5"/>
  <c r="E745" i="5" s="1"/>
  <c r="C746" i="5"/>
  <c r="E746" i="5" s="1"/>
  <c r="C747" i="5"/>
  <c r="E747" i="5" s="1"/>
  <c r="C748" i="5"/>
  <c r="C749" i="5"/>
  <c r="E749" i="5" s="1"/>
  <c r="C750" i="5"/>
  <c r="E750" i="5" s="1"/>
  <c r="C751" i="5"/>
  <c r="C752" i="5"/>
  <c r="E752" i="5" s="1"/>
  <c r="C753" i="5"/>
  <c r="E753" i="5" s="1"/>
  <c r="C754" i="5"/>
  <c r="E754" i="5" s="1"/>
  <c r="C755" i="5"/>
  <c r="E755" i="5" s="1"/>
  <c r="C756" i="5"/>
  <c r="C757" i="5"/>
  <c r="E757" i="5" s="1"/>
  <c r="C758" i="5"/>
  <c r="E758" i="5" s="1"/>
  <c r="C759" i="5"/>
  <c r="C760" i="5"/>
  <c r="E760" i="5" s="1"/>
  <c r="C761" i="5"/>
  <c r="E761" i="5" s="1"/>
  <c r="C762" i="5"/>
  <c r="E762" i="5" s="1"/>
  <c r="C763" i="5"/>
  <c r="E763" i="5" s="1"/>
  <c r="C764" i="5"/>
  <c r="C765" i="5"/>
  <c r="E765" i="5" s="1"/>
  <c r="C766" i="5"/>
  <c r="E766" i="5" s="1"/>
  <c r="C767" i="5"/>
  <c r="C768" i="5"/>
  <c r="E768" i="5" s="1"/>
  <c r="C769" i="5"/>
  <c r="E769" i="5" s="1"/>
  <c r="C770" i="5"/>
  <c r="E770" i="5" s="1"/>
  <c r="C771" i="5"/>
  <c r="E771" i="5" s="1"/>
  <c r="C772" i="5"/>
  <c r="C773" i="5"/>
  <c r="E773" i="5" s="1"/>
  <c r="C774" i="5"/>
  <c r="E774" i="5" s="1"/>
  <c r="C775" i="5"/>
  <c r="C776" i="5"/>
  <c r="E776" i="5" s="1"/>
  <c r="C777" i="5"/>
  <c r="E777" i="5" s="1"/>
  <c r="C778" i="5"/>
  <c r="E778" i="5" s="1"/>
  <c r="C779" i="5"/>
  <c r="E779" i="5" s="1"/>
  <c r="C780" i="5"/>
  <c r="E780" i="5" s="1"/>
  <c r="C781" i="5"/>
  <c r="E781" i="5" s="1"/>
  <c r="C782" i="5"/>
  <c r="E782" i="5" s="1"/>
  <c r="C783" i="5"/>
  <c r="C784" i="5"/>
  <c r="E784" i="5" s="1"/>
  <c r="C785" i="5"/>
  <c r="E785" i="5" s="1"/>
  <c r="C786" i="5"/>
  <c r="C787" i="5"/>
  <c r="E787" i="5" s="1"/>
  <c r="C788" i="5"/>
  <c r="E788" i="5" s="1"/>
  <c r="C789" i="5"/>
  <c r="E789" i="5" s="1"/>
  <c r="C790" i="5"/>
  <c r="E790" i="5" s="1"/>
  <c r="C791" i="5"/>
  <c r="C792" i="5"/>
  <c r="E792" i="5" s="1"/>
  <c r="C793" i="5"/>
  <c r="E793" i="5" s="1"/>
  <c r="C794" i="5"/>
  <c r="E794" i="5" s="1"/>
  <c r="C795" i="5"/>
  <c r="E795" i="5" s="1"/>
  <c r="C796" i="5"/>
  <c r="C797" i="5"/>
  <c r="E797" i="5" s="1"/>
  <c r="C798" i="5"/>
  <c r="E798" i="5" s="1"/>
  <c r="C799" i="5"/>
  <c r="C800" i="5"/>
  <c r="E800" i="5" s="1"/>
  <c r="C801" i="5"/>
  <c r="E801" i="5" s="1"/>
  <c r="C802" i="5"/>
  <c r="E802" i="5" s="1"/>
  <c r="C803" i="5"/>
  <c r="E803" i="5" s="1"/>
  <c r="C804" i="5"/>
  <c r="C805" i="5"/>
  <c r="E805" i="5" s="1"/>
  <c r="C806" i="5"/>
  <c r="E806" i="5" s="1"/>
  <c r="C807" i="5"/>
  <c r="C808" i="5"/>
  <c r="E808" i="5" s="1"/>
  <c r="C809" i="5"/>
  <c r="E809" i="5" s="1"/>
  <c r="C810" i="5"/>
  <c r="E810" i="5" s="1"/>
  <c r="C811" i="5"/>
  <c r="E811" i="5" s="1"/>
  <c r="C812" i="5"/>
  <c r="C813" i="5"/>
  <c r="E813" i="5" s="1"/>
  <c r="C814" i="5"/>
  <c r="E814" i="5" s="1"/>
  <c r="C815" i="5"/>
  <c r="C816" i="5"/>
  <c r="E816" i="5" s="1"/>
  <c r="C817" i="5"/>
  <c r="E817" i="5" s="1"/>
  <c r="C818" i="5"/>
  <c r="E818" i="5" s="1"/>
  <c r="C819" i="5"/>
  <c r="E819" i="5" s="1"/>
  <c r="C820" i="5"/>
  <c r="C821" i="5"/>
  <c r="E821" i="5" s="1"/>
  <c r="C822" i="5"/>
  <c r="E822" i="5" s="1"/>
  <c r="C823" i="5"/>
  <c r="C824" i="5"/>
  <c r="E824" i="5" s="1"/>
  <c r="C825" i="5"/>
  <c r="E825" i="5" s="1"/>
  <c r="C826" i="5"/>
  <c r="E826" i="5" s="1"/>
  <c r="C827" i="5"/>
  <c r="E827" i="5" s="1"/>
  <c r="C828" i="5"/>
  <c r="C829" i="5"/>
  <c r="E829" i="5" s="1"/>
  <c r="C830" i="5"/>
  <c r="E830" i="5" s="1"/>
  <c r="C831" i="5"/>
  <c r="C832" i="5"/>
  <c r="E832" i="5" s="1"/>
  <c r="C833" i="5"/>
  <c r="E833" i="5" s="1"/>
  <c r="C834" i="5"/>
  <c r="E834" i="5" s="1"/>
  <c r="C835" i="5"/>
  <c r="E835" i="5" s="1"/>
  <c r="C836" i="5"/>
  <c r="C837" i="5"/>
  <c r="E837" i="5" s="1"/>
  <c r="C838" i="5"/>
  <c r="E838" i="5" s="1"/>
  <c r="C839" i="5"/>
  <c r="C840" i="5"/>
  <c r="E840" i="5" s="1"/>
  <c r="C841" i="5"/>
  <c r="E841" i="5" s="1"/>
  <c r="C842" i="5"/>
  <c r="E842" i="5" s="1"/>
  <c r="C843" i="5"/>
  <c r="E843" i="5" s="1"/>
  <c r="C844" i="5"/>
  <c r="E844" i="5" s="1"/>
  <c r="C845" i="5"/>
  <c r="E845" i="5" s="1"/>
  <c r="C846" i="5"/>
  <c r="E846" i="5" s="1"/>
  <c r="C847" i="5"/>
  <c r="C848" i="5"/>
  <c r="E848" i="5" s="1"/>
  <c r="C849" i="5"/>
  <c r="E849" i="5" s="1"/>
  <c r="C850" i="5"/>
  <c r="E850" i="5" s="1"/>
  <c r="C851" i="5"/>
  <c r="E851" i="5" s="1"/>
  <c r="C852" i="5"/>
  <c r="C853" i="5"/>
  <c r="E853" i="5" s="1"/>
  <c r="C854" i="5"/>
  <c r="E854" i="5" s="1"/>
  <c r="C855" i="5"/>
  <c r="C856" i="5"/>
  <c r="E856" i="5" s="1"/>
  <c r="C857" i="5"/>
  <c r="E857" i="5" s="1"/>
  <c r="C858" i="5"/>
  <c r="E858" i="5" s="1"/>
  <c r="C859" i="5"/>
  <c r="E859" i="5" s="1"/>
  <c r="C860" i="5"/>
  <c r="E860" i="5" s="1"/>
  <c r="C861" i="5"/>
  <c r="E861" i="5" s="1"/>
  <c r="C862" i="5"/>
  <c r="E862" i="5" s="1"/>
  <c r="C863" i="5"/>
  <c r="C864" i="5"/>
  <c r="E864" i="5" s="1"/>
  <c r="C865" i="5"/>
  <c r="E865" i="5" s="1"/>
  <c r="C866" i="5"/>
  <c r="C867" i="5"/>
  <c r="E867" i="5" s="1"/>
  <c r="C868" i="5"/>
  <c r="E868" i="5" s="1"/>
  <c r="C869" i="5"/>
  <c r="E869" i="5" s="1"/>
  <c r="C870" i="5"/>
  <c r="E870" i="5" s="1"/>
  <c r="C871" i="5"/>
  <c r="C872" i="5"/>
  <c r="E872" i="5" s="1"/>
  <c r="C873" i="5"/>
  <c r="E873" i="5" s="1"/>
  <c r="C874" i="5"/>
  <c r="C875" i="5"/>
  <c r="E875" i="5" s="1"/>
  <c r="C876" i="5"/>
  <c r="E876" i="5" s="1"/>
  <c r="C877" i="5"/>
  <c r="E877" i="5" s="1"/>
  <c r="C878" i="5"/>
  <c r="E878" i="5" s="1"/>
  <c r="C879" i="5"/>
  <c r="C880" i="5"/>
  <c r="E880" i="5" s="1"/>
  <c r="C881" i="5"/>
  <c r="E881" i="5" s="1"/>
  <c r="C882" i="5"/>
  <c r="E882" i="5" s="1"/>
  <c r="C883" i="5"/>
  <c r="E883" i="5" s="1"/>
  <c r="C884" i="5"/>
  <c r="E884" i="5" s="1"/>
  <c r="C885" i="5"/>
  <c r="E885" i="5" s="1"/>
  <c r="C886" i="5"/>
  <c r="E886" i="5" s="1"/>
  <c r="C887" i="5"/>
  <c r="C888" i="5"/>
  <c r="E888" i="5" s="1"/>
  <c r="C889" i="5"/>
  <c r="E889" i="5" s="1"/>
  <c r="C890" i="5"/>
  <c r="C891" i="5"/>
  <c r="E891" i="5" s="1"/>
  <c r="C892" i="5"/>
  <c r="E892" i="5" s="1"/>
  <c r="C893" i="5"/>
  <c r="E893" i="5" s="1"/>
  <c r="C894" i="5"/>
  <c r="E894" i="5" s="1"/>
  <c r="C895" i="5"/>
  <c r="E895" i="5" s="1"/>
  <c r="C896" i="5"/>
  <c r="E896" i="5" s="1"/>
  <c r="C897" i="5"/>
  <c r="E897" i="5" s="1"/>
  <c r="C898" i="5"/>
  <c r="E898" i="5" s="1"/>
  <c r="C899" i="5"/>
  <c r="E899" i="5" s="1"/>
  <c r="C900" i="5"/>
  <c r="E900" i="5" s="1"/>
  <c r="C901" i="5"/>
  <c r="E901" i="5" s="1"/>
  <c r="C902" i="5"/>
  <c r="E902" i="5" s="1"/>
  <c r="C903" i="5"/>
  <c r="E903" i="5" s="1"/>
  <c r="C904" i="5"/>
  <c r="E904" i="5" s="1"/>
  <c r="C905" i="5"/>
  <c r="E905" i="5" s="1"/>
  <c r="C906" i="5"/>
  <c r="E906" i="5" s="1"/>
  <c r="C907" i="5"/>
  <c r="E907" i="5" s="1"/>
  <c r="C908" i="5"/>
  <c r="E908" i="5" s="1"/>
  <c r="C909" i="5"/>
  <c r="E909" i="5" s="1"/>
  <c r="C910" i="5"/>
  <c r="E910" i="5" s="1"/>
  <c r="C911" i="5"/>
  <c r="C912" i="5"/>
  <c r="E912" i="5" s="1"/>
  <c r="C913" i="5"/>
  <c r="E913" i="5" s="1"/>
  <c r="C914" i="5"/>
  <c r="E914" i="5" s="1"/>
  <c r="C915" i="5"/>
  <c r="E915" i="5" s="1"/>
  <c r="C916" i="5"/>
  <c r="E916" i="5" s="1"/>
  <c r="C917" i="5"/>
  <c r="E917" i="5" s="1"/>
  <c r="C918" i="5"/>
  <c r="E918" i="5" s="1"/>
  <c r="C919" i="5"/>
  <c r="E919" i="5" s="1"/>
  <c r="C920" i="5"/>
  <c r="E920" i="5" s="1"/>
  <c r="C921" i="5"/>
  <c r="E921" i="5" s="1"/>
  <c r="C922" i="5"/>
  <c r="E922" i="5" s="1"/>
  <c r="C923" i="5"/>
  <c r="E923" i="5" s="1"/>
  <c r="C924" i="5"/>
  <c r="E924" i="5" s="1"/>
  <c r="C925" i="5"/>
  <c r="E925" i="5" s="1"/>
  <c r="C926" i="5"/>
  <c r="E926" i="5" s="1"/>
  <c r="C927" i="5"/>
  <c r="E927" i="5" s="1"/>
  <c r="C928" i="5"/>
  <c r="E928" i="5" s="1"/>
  <c r="C929" i="5"/>
  <c r="E929" i="5" s="1"/>
  <c r="C930" i="5"/>
  <c r="E930" i="5" s="1"/>
  <c r="C931" i="5"/>
  <c r="E931" i="5" s="1"/>
  <c r="C932" i="5"/>
  <c r="E932" i="5" s="1"/>
  <c r="C933" i="5"/>
  <c r="E933" i="5" s="1"/>
  <c r="C934" i="5"/>
  <c r="E934" i="5" s="1"/>
  <c r="C935" i="5"/>
  <c r="E935" i="5" s="1"/>
  <c r="C936" i="5"/>
  <c r="E936" i="5" s="1"/>
  <c r="C937" i="5"/>
  <c r="E937" i="5" s="1"/>
  <c r="C938" i="5"/>
  <c r="E938" i="5" s="1"/>
  <c r="C939" i="5"/>
  <c r="E939" i="5" s="1"/>
  <c r="C940" i="5"/>
  <c r="E940" i="5" s="1"/>
  <c r="C941" i="5"/>
  <c r="E941" i="5" s="1"/>
  <c r="C942" i="5"/>
  <c r="E942" i="5" s="1"/>
  <c r="C943" i="5"/>
  <c r="C944" i="5"/>
  <c r="E944" i="5" s="1"/>
  <c r="C945" i="5"/>
  <c r="E945" i="5" s="1"/>
  <c r="C946" i="5"/>
  <c r="E946" i="5" s="1"/>
  <c r="C947" i="5"/>
  <c r="E947" i="5" s="1"/>
  <c r="C948" i="5"/>
  <c r="E948" i="5" s="1"/>
  <c r="C949" i="5"/>
  <c r="E949" i="5" s="1"/>
  <c r="C950" i="5"/>
  <c r="E950" i="5" s="1"/>
  <c r="C951" i="5"/>
  <c r="E951" i="5" s="1"/>
  <c r="C952" i="5"/>
  <c r="E952" i="5" s="1"/>
  <c r="C953" i="5"/>
  <c r="E953" i="5" s="1"/>
  <c r="C954" i="5"/>
  <c r="E954" i="5" s="1"/>
  <c r="C955" i="5"/>
  <c r="E955" i="5" s="1"/>
  <c r="C956" i="5"/>
  <c r="C957" i="5"/>
  <c r="E957" i="5" s="1"/>
  <c r="C958" i="5"/>
  <c r="E958" i="5" s="1"/>
  <c r="C959" i="5"/>
  <c r="E959" i="5" s="1"/>
  <c r="C960" i="5"/>
  <c r="E960" i="5" s="1"/>
  <c r="C961" i="5"/>
  <c r="E961" i="5" s="1"/>
  <c r="C962" i="5"/>
  <c r="E962" i="5" s="1"/>
  <c r="C963" i="5"/>
  <c r="E963" i="5" s="1"/>
  <c r="C964" i="5"/>
  <c r="C965" i="5"/>
  <c r="E965" i="5" s="1"/>
  <c r="C966" i="5"/>
  <c r="E966" i="5" s="1"/>
  <c r="C967" i="5"/>
  <c r="E967" i="5" s="1"/>
  <c r="C968" i="5"/>
  <c r="E968" i="5" s="1"/>
  <c r="C969" i="5"/>
  <c r="E969" i="5" s="1"/>
  <c r="C970" i="5"/>
  <c r="E970" i="5" s="1"/>
  <c r="C971" i="5"/>
  <c r="E971" i="5" s="1"/>
  <c r="C972" i="5"/>
  <c r="E972" i="5" s="1"/>
  <c r="C973" i="5"/>
  <c r="C974" i="5"/>
  <c r="E974" i="5" s="1"/>
  <c r="C975" i="5"/>
  <c r="C976" i="5"/>
  <c r="E976" i="5" s="1"/>
  <c r="C977" i="5"/>
  <c r="E977" i="5" s="1"/>
  <c r="C978" i="5"/>
  <c r="E978" i="5" s="1"/>
  <c r="C979" i="5"/>
  <c r="E979" i="5" s="1"/>
  <c r="C980" i="5"/>
  <c r="E980" i="5" s="1"/>
  <c r="C981" i="5"/>
  <c r="C982" i="5"/>
  <c r="E982" i="5" s="1"/>
  <c r="C983" i="5"/>
  <c r="E983" i="5" s="1"/>
  <c r="C984" i="5"/>
  <c r="E984" i="5" s="1"/>
  <c r="C985" i="5"/>
  <c r="E985" i="5" s="1"/>
  <c r="C986" i="5"/>
  <c r="E986" i="5" s="1"/>
  <c r="C987" i="5"/>
  <c r="E987" i="5" s="1"/>
  <c r="C988" i="5"/>
  <c r="E988" i="5" s="1"/>
  <c r="C989" i="5"/>
  <c r="C990" i="5"/>
  <c r="E990" i="5" s="1"/>
  <c r="C991" i="5"/>
  <c r="E991" i="5" s="1"/>
  <c r="C992" i="5"/>
  <c r="E992" i="5" s="1"/>
  <c r="C993" i="5"/>
  <c r="E993" i="5" s="1"/>
  <c r="C994" i="5"/>
  <c r="E994" i="5" s="1"/>
  <c r="C995" i="5"/>
  <c r="E995" i="5" s="1"/>
  <c r="C996" i="5"/>
  <c r="E996" i="5" s="1"/>
  <c r="C997" i="5"/>
  <c r="C998" i="5"/>
  <c r="E998" i="5" s="1"/>
  <c r="C999" i="5"/>
  <c r="E999" i="5" s="1"/>
  <c r="C1000" i="5"/>
  <c r="E1000" i="5" s="1"/>
  <c r="C1001" i="5"/>
  <c r="E1001" i="5" s="1"/>
  <c r="C1002" i="5"/>
  <c r="E1002" i="5" s="1"/>
  <c r="C1003" i="5"/>
  <c r="E1003" i="5" s="1"/>
  <c r="C1004" i="5"/>
  <c r="E1004" i="5" s="1"/>
  <c r="C1005" i="5"/>
  <c r="C1006" i="5"/>
  <c r="E1006" i="5" s="1"/>
  <c r="C1007" i="5"/>
  <c r="C1008" i="5"/>
  <c r="E1008" i="5" s="1"/>
  <c r="C1009" i="5"/>
  <c r="E1009" i="5" s="1"/>
  <c r="C1010" i="5"/>
  <c r="E1010" i="5" s="1"/>
  <c r="C1011" i="5"/>
  <c r="E1011" i="5" s="1"/>
  <c r="C1012" i="5"/>
  <c r="C1013" i="5"/>
  <c r="E1013" i="5" s="1"/>
  <c r="C1014" i="5"/>
  <c r="E1014" i="5" s="1"/>
  <c r="C1015" i="5"/>
  <c r="E1015" i="5" s="1"/>
  <c r="C1016" i="5"/>
  <c r="E1016" i="5" s="1"/>
  <c r="C1017" i="5"/>
  <c r="C1018" i="5"/>
  <c r="E1018" i="5" s="1"/>
  <c r="C1019" i="5"/>
  <c r="E1019" i="5" s="1"/>
  <c r="C1020" i="5"/>
  <c r="C1021" i="5"/>
  <c r="E1021" i="5" s="1"/>
  <c r="C1022" i="5"/>
  <c r="E1022" i="5" s="1"/>
  <c r="C1023" i="5"/>
  <c r="E1023" i="5" s="1"/>
  <c r="C1024" i="5"/>
  <c r="E1024" i="5" s="1"/>
  <c r="C1025" i="5"/>
  <c r="C1026" i="5"/>
  <c r="E1026" i="5" s="1"/>
  <c r="C1027" i="5"/>
  <c r="E1027" i="5" s="1"/>
  <c r="C1028" i="5"/>
  <c r="C1029" i="5"/>
  <c r="E1029" i="5" s="1"/>
  <c r="C1030" i="5"/>
  <c r="E1030" i="5" s="1"/>
  <c r="C1031" i="5"/>
  <c r="E1031" i="5" s="1"/>
  <c r="C1032" i="5"/>
  <c r="E1032" i="5" s="1"/>
  <c r="C1033" i="5"/>
  <c r="E1033" i="5" s="1"/>
  <c r="C1034" i="5"/>
  <c r="E1034" i="5" s="1"/>
  <c r="C1035" i="5"/>
  <c r="E1035" i="5" s="1"/>
  <c r="C1036" i="5"/>
  <c r="E1036" i="5" s="1"/>
  <c r="C1037" i="5"/>
  <c r="E1037" i="5" s="1"/>
  <c r="C1038" i="5"/>
  <c r="E1038" i="5" s="1"/>
  <c r="C1039" i="5"/>
  <c r="C1040" i="5"/>
  <c r="E1040" i="5" s="1"/>
  <c r="C1041" i="5"/>
  <c r="E1041" i="5" s="1"/>
  <c r="C1042" i="5"/>
  <c r="E1042" i="5" s="1"/>
  <c r="C1043" i="5"/>
  <c r="E1043" i="5" s="1"/>
  <c r="C1044" i="5"/>
  <c r="E1044" i="5" s="1"/>
  <c r="C1045" i="5"/>
  <c r="E1045" i="5" s="1"/>
  <c r="C1046" i="5"/>
  <c r="E1046" i="5" s="1"/>
  <c r="C1047" i="5"/>
  <c r="E1047" i="5" s="1"/>
  <c r="C1048" i="5"/>
  <c r="E1048" i="5" s="1"/>
  <c r="C1049" i="5"/>
  <c r="E1049" i="5" s="1"/>
  <c r="C1050" i="5"/>
  <c r="E1050" i="5" s="1"/>
  <c r="C1051" i="5"/>
  <c r="E1051" i="5" s="1"/>
  <c r="C1052" i="5"/>
  <c r="E1052" i="5" s="1"/>
  <c r="C1053" i="5"/>
  <c r="E1053" i="5" s="1"/>
  <c r="C1054" i="5"/>
  <c r="E1054" i="5" s="1"/>
  <c r="C1055" i="5"/>
  <c r="E1055" i="5" s="1"/>
  <c r="C1056" i="5"/>
  <c r="E1056" i="5" s="1"/>
  <c r="C1057" i="5"/>
  <c r="E1057" i="5" s="1"/>
  <c r="C1058" i="5"/>
  <c r="E1058" i="5" s="1"/>
  <c r="C1059" i="5"/>
  <c r="E1059" i="5" s="1"/>
  <c r="C1060" i="5"/>
  <c r="E1060" i="5" s="1"/>
  <c r="C1061" i="5"/>
  <c r="E1061" i="5" s="1"/>
  <c r="C1062" i="5"/>
  <c r="E1062" i="5" s="1"/>
  <c r="C1063" i="5"/>
  <c r="E1063" i="5" s="1"/>
  <c r="C1064" i="5"/>
  <c r="E1064" i="5" s="1"/>
  <c r="C1065" i="5"/>
  <c r="E1065" i="5" s="1"/>
  <c r="C1066" i="5"/>
  <c r="E1066" i="5" s="1"/>
  <c r="C1067" i="5"/>
  <c r="E1067" i="5" s="1"/>
  <c r="C1068" i="5"/>
  <c r="E1068" i="5" s="1"/>
  <c r="C1069" i="5"/>
  <c r="E1069" i="5" s="1"/>
  <c r="C1070" i="5"/>
  <c r="E1070" i="5" s="1"/>
  <c r="C1071" i="5"/>
  <c r="C1072" i="5"/>
  <c r="E1072" i="5" s="1"/>
  <c r="C1073" i="5"/>
  <c r="E1073" i="5" s="1"/>
  <c r="C1074" i="5"/>
  <c r="E1074" i="5" s="1"/>
  <c r="C1075" i="5"/>
  <c r="E1075" i="5" s="1"/>
  <c r="C1076" i="5"/>
  <c r="E1076" i="5" s="1"/>
  <c r="C1077" i="5"/>
  <c r="E1077" i="5" s="1"/>
  <c r="C1078" i="5"/>
  <c r="E1078" i="5" s="1"/>
  <c r="C1079" i="5"/>
  <c r="E1079" i="5" s="1"/>
  <c r="C1080" i="5"/>
  <c r="E1080" i="5" s="1"/>
  <c r="C1081" i="5"/>
  <c r="C1082" i="5"/>
  <c r="E1082" i="5" s="1"/>
  <c r="C1083" i="5"/>
  <c r="E1083" i="5" s="1"/>
  <c r="C1084" i="5"/>
  <c r="E1084" i="5" s="1"/>
  <c r="C1085" i="5"/>
  <c r="E1085" i="5" s="1"/>
  <c r="C1086" i="5"/>
  <c r="E1086" i="5" s="1"/>
  <c r="C1087" i="5"/>
  <c r="E1087" i="5" s="1"/>
  <c r="C1088" i="5"/>
  <c r="E1088" i="5" s="1"/>
  <c r="C1089" i="5"/>
  <c r="C1090" i="5"/>
  <c r="E1090" i="5" s="1"/>
  <c r="C1091" i="5"/>
  <c r="E1091" i="5" s="1"/>
  <c r="C1092" i="5"/>
  <c r="E1092" i="5" s="1"/>
  <c r="C1093" i="5"/>
  <c r="E1093" i="5" s="1"/>
  <c r="C1094" i="5"/>
  <c r="E1094" i="5" s="1"/>
  <c r="C1095" i="5"/>
  <c r="E1095" i="5" s="1"/>
  <c r="C1096" i="5"/>
  <c r="E1096" i="5" s="1"/>
  <c r="C1097" i="5"/>
  <c r="E1097" i="5" s="1"/>
  <c r="C1098" i="5"/>
  <c r="E1098" i="5" s="1"/>
  <c r="C1099" i="5"/>
  <c r="E1099" i="5" s="1"/>
  <c r="C1100" i="5"/>
  <c r="E1100" i="5" s="1"/>
  <c r="C1101" i="5"/>
  <c r="E1101" i="5" s="1"/>
  <c r="C1102" i="5"/>
  <c r="E1102" i="5" s="1"/>
  <c r="C1103" i="5"/>
  <c r="C1104" i="5"/>
  <c r="E1104" i="5" s="1"/>
  <c r="C1105" i="5"/>
  <c r="E1105" i="5" s="1"/>
  <c r="C1106" i="5"/>
  <c r="E1106" i="5" s="1"/>
  <c r="C1107" i="5"/>
  <c r="E1107" i="5" s="1"/>
  <c r="C1108" i="5"/>
  <c r="E1108" i="5" s="1"/>
  <c r="C1109" i="5"/>
  <c r="E1109" i="5" s="1"/>
  <c r="C1110" i="5"/>
  <c r="E1110" i="5" s="1"/>
  <c r="C1111" i="5"/>
  <c r="E1111" i="5" s="1"/>
  <c r="C1112" i="5"/>
  <c r="E1112" i="5" s="1"/>
  <c r="C1113" i="5"/>
  <c r="E1113" i="5" s="1"/>
  <c r="C1114" i="5"/>
  <c r="E1114" i="5" s="1"/>
  <c r="C1115" i="5"/>
  <c r="E1115" i="5" s="1"/>
  <c r="C1116" i="5"/>
  <c r="E1116" i="5" s="1"/>
  <c r="C1117" i="5"/>
  <c r="E1117" i="5" s="1"/>
  <c r="C1118" i="5"/>
  <c r="E1118" i="5" s="1"/>
  <c r="C1119" i="5"/>
  <c r="E1119" i="5" s="1"/>
  <c r="C1120" i="5"/>
  <c r="E1120" i="5" s="1"/>
  <c r="C1121" i="5"/>
  <c r="E1121" i="5" s="1"/>
  <c r="C1122" i="5"/>
  <c r="E1122" i="5" s="1"/>
  <c r="C1123" i="5"/>
  <c r="E1123" i="5" s="1"/>
  <c r="C1124" i="5"/>
  <c r="E1124" i="5" s="1"/>
  <c r="C1125" i="5"/>
  <c r="E1125" i="5" s="1"/>
  <c r="C1126" i="5"/>
  <c r="E1126" i="5" s="1"/>
  <c r="C1127" i="5"/>
  <c r="E1127" i="5" s="1"/>
  <c r="C1128" i="5"/>
  <c r="E1128" i="5" s="1"/>
  <c r="C1129" i="5"/>
  <c r="E1129" i="5" s="1"/>
  <c r="C1130" i="5"/>
  <c r="E1130" i="5" s="1"/>
  <c r="C1131" i="5"/>
  <c r="E1131" i="5" s="1"/>
  <c r="C1132" i="5"/>
  <c r="E1132" i="5" s="1"/>
  <c r="C1133" i="5"/>
  <c r="C1134" i="5"/>
  <c r="E1134" i="5" s="1"/>
  <c r="C1135" i="5"/>
  <c r="C1136" i="5"/>
  <c r="E1136" i="5" s="1"/>
  <c r="C1137" i="5"/>
  <c r="E1137" i="5" s="1"/>
  <c r="C1138" i="5"/>
  <c r="C1139" i="5"/>
  <c r="E1139" i="5" s="1"/>
  <c r="C1140" i="5"/>
  <c r="E1140" i="5" s="1"/>
  <c r="C1141" i="5"/>
  <c r="C1142" i="5"/>
  <c r="E1142" i="5" s="1"/>
  <c r="C1143" i="5"/>
  <c r="E1143" i="5" s="1"/>
  <c r="C1144" i="5"/>
  <c r="E1144" i="5" s="1"/>
  <c r="C1145" i="5"/>
  <c r="E1145" i="5" s="1"/>
  <c r="C1146" i="5"/>
  <c r="C1147" i="5"/>
  <c r="E1147" i="5" s="1"/>
  <c r="C1148" i="5"/>
  <c r="E1148" i="5" s="1"/>
  <c r="C1149" i="5"/>
  <c r="C1150" i="5"/>
  <c r="E1150" i="5" s="1"/>
  <c r="C1151" i="5"/>
  <c r="E1151" i="5" s="1"/>
  <c r="C1152" i="5"/>
  <c r="E1152" i="5" s="1"/>
  <c r="C1153" i="5"/>
  <c r="C1154" i="5"/>
  <c r="E1154" i="5" s="1"/>
  <c r="C1155" i="5"/>
  <c r="E1155" i="5" s="1"/>
  <c r="C1156" i="5"/>
  <c r="E1156" i="5" s="1"/>
  <c r="C1157" i="5"/>
  <c r="E1157" i="5" s="1"/>
  <c r="C1158" i="5"/>
  <c r="E1158" i="5" s="1"/>
  <c r="C1159" i="5"/>
  <c r="E1159" i="5" s="1"/>
  <c r="C1160" i="5"/>
  <c r="E1160" i="5" s="1"/>
  <c r="C1161" i="5"/>
  <c r="C1162" i="5"/>
  <c r="E1162" i="5" s="1"/>
  <c r="C1163" i="5"/>
  <c r="E1163" i="5" s="1"/>
  <c r="C1164" i="5"/>
  <c r="E1164" i="5" s="1"/>
  <c r="C1165" i="5"/>
  <c r="E1165" i="5" s="1"/>
  <c r="C1166" i="5"/>
  <c r="E1166" i="5" s="1"/>
  <c r="C1167" i="5"/>
  <c r="C1168" i="5"/>
  <c r="E1168" i="5" s="1"/>
  <c r="C1169" i="5"/>
  <c r="C1170" i="5"/>
  <c r="E1170" i="5" s="1"/>
  <c r="C1171" i="5"/>
  <c r="E1171" i="5" s="1"/>
  <c r="C1172" i="5"/>
  <c r="E1172" i="5" s="1"/>
  <c r="C1173" i="5"/>
  <c r="E1173" i="5" s="1"/>
  <c r="C1174" i="5"/>
  <c r="E1174" i="5" s="1"/>
  <c r="C1175" i="5"/>
  <c r="E1175" i="5" s="1"/>
  <c r="C1176" i="5"/>
  <c r="E1176" i="5" s="1"/>
  <c r="C1177" i="5"/>
  <c r="C1178" i="5"/>
  <c r="E1178" i="5" s="1"/>
  <c r="C1179" i="5"/>
  <c r="E1179" i="5" s="1"/>
  <c r="C1180" i="5"/>
  <c r="E1180" i="5" s="1"/>
  <c r="C1181" i="5"/>
  <c r="E1181" i="5" s="1"/>
  <c r="C1182" i="5"/>
  <c r="E1182" i="5" s="1"/>
  <c r="C1183" i="5"/>
  <c r="E1183" i="5" s="1"/>
  <c r="C1184" i="5"/>
  <c r="E1184" i="5" s="1"/>
  <c r="C1185" i="5"/>
  <c r="C1186" i="5"/>
  <c r="E1186" i="5" s="1"/>
  <c r="C1187" i="5"/>
  <c r="E1187" i="5" s="1"/>
  <c r="C1188" i="5"/>
  <c r="E1188" i="5" s="1"/>
  <c r="C1189" i="5"/>
  <c r="E1189" i="5" s="1"/>
  <c r="C1190" i="5"/>
  <c r="E1190" i="5" s="1"/>
  <c r="C1191" i="5"/>
  <c r="E1191" i="5" s="1"/>
  <c r="C1192" i="5"/>
  <c r="E1192" i="5" s="1"/>
  <c r="C1193" i="5"/>
  <c r="C1194" i="5"/>
  <c r="E1194" i="5" s="1"/>
  <c r="C1195" i="5"/>
  <c r="E1195" i="5" s="1"/>
  <c r="C1196" i="5"/>
  <c r="E1196" i="5" s="1"/>
  <c r="C1197" i="5"/>
  <c r="E1197" i="5" s="1"/>
  <c r="C1198" i="5"/>
  <c r="E1198" i="5" s="1"/>
  <c r="C1199" i="5"/>
  <c r="C1200" i="5"/>
  <c r="E1200" i="5" s="1"/>
  <c r="C1201" i="5"/>
  <c r="C1202" i="5"/>
  <c r="E1202" i="5" s="1"/>
  <c r="C1203" i="5"/>
  <c r="E1203" i="5" s="1"/>
  <c r="C1204" i="5"/>
  <c r="E1204" i="5" s="1"/>
  <c r="C1205" i="5"/>
  <c r="E1205" i="5" s="1"/>
  <c r="C1206" i="5"/>
  <c r="E1206" i="5" s="1"/>
  <c r="C1207" i="5"/>
  <c r="E1207" i="5" s="1"/>
  <c r="C1208" i="5"/>
  <c r="E1208" i="5" s="1"/>
  <c r="C1209" i="5"/>
  <c r="C1210" i="5"/>
  <c r="E1210" i="5" s="1"/>
  <c r="C1211" i="5"/>
  <c r="E1211" i="5" s="1"/>
  <c r="C1212" i="5"/>
  <c r="C1213" i="5"/>
  <c r="E1213" i="5" s="1"/>
  <c r="C1214" i="5"/>
  <c r="E1214" i="5" s="1"/>
  <c r="C1215" i="5"/>
  <c r="E1215" i="5" s="1"/>
  <c r="C1216" i="5"/>
  <c r="E1216" i="5" s="1"/>
  <c r="C1217" i="5"/>
  <c r="C1218" i="5"/>
  <c r="E1218" i="5" s="1"/>
  <c r="C1219" i="5"/>
  <c r="E1219" i="5" s="1"/>
  <c r="C1220" i="5"/>
  <c r="C1221" i="5"/>
  <c r="E1221" i="5" s="1"/>
  <c r="C1222" i="5"/>
  <c r="E1222" i="5" s="1"/>
  <c r="C1223" i="5"/>
  <c r="E1223" i="5" s="1"/>
  <c r="C1224" i="5"/>
  <c r="E1224" i="5" s="1"/>
  <c r="C1225" i="5"/>
  <c r="C1226" i="5"/>
  <c r="E1226" i="5" s="1"/>
  <c r="C1227" i="5"/>
  <c r="E1227" i="5" s="1"/>
  <c r="C1228" i="5"/>
  <c r="C1229" i="5"/>
  <c r="E1229" i="5" s="1"/>
  <c r="C1230" i="5"/>
  <c r="E1230" i="5" s="1"/>
  <c r="C1231" i="5"/>
  <c r="C1232" i="5"/>
  <c r="E1232" i="5" s="1"/>
  <c r="C1233" i="5"/>
  <c r="C1234" i="5"/>
  <c r="E1234" i="5" s="1"/>
  <c r="C1235" i="5"/>
  <c r="E1235" i="5" s="1"/>
  <c r="C1236" i="5"/>
  <c r="C1237" i="5"/>
  <c r="E1237" i="5" s="1"/>
  <c r="C1238" i="5"/>
  <c r="E1238" i="5" s="1"/>
  <c r="C1239" i="5"/>
  <c r="E1239" i="5" s="1"/>
  <c r="C1240" i="5"/>
  <c r="E1240" i="5" s="1"/>
  <c r="C1241" i="5"/>
  <c r="C1242" i="5"/>
  <c r="E1242" i="5" s="1"/>
  <c r="C1243" i="5"/>
  <c r="E1243" i="5" s="1"/>
  <c r="C1244" i="5"/>
  <c r="C1245" i="5"/>
  <c r="E1245" i="5" s="1"/>
  <c r="C1246" i="5"/>
  <c r="C1247" i="5"/>
  <c r="E1247" i="5" s="1"/>
  <c r="C1248" i="5"/>
  <c r="E1248" i="5" s="1"/>
  <c r="C1249" i="5"/>
  <c r="C1250" i="5"/>
  <c r="E1250" i="5" s="1"/>
  <c r="C1251" i="5"/>
  <c r="E1251" i="5" s="1"/>
  <c r="C1252" i="5"/>
  <c r="E1252" i="5" s="1"/>
  <c r="C1253" i="5"/>
  <c r="E1253" i="5" s="1"/>
  <c r="C1254" i="5"/>
  <c r="E1254" i="5" s="1"/>
  <c r="C1255" i="5"/>
  <c r="E1255" i="5" s="1"/>
  <c r="C1256" i="5"/>
  <c r="E1256" i="5" s="1"/>
  <c r="C1257" i="5"/>
  <c r="E1257" i="5" s="1"/>
  <c r="C1258" i="5"/>
  <c r="E1258" i="5" s="1"/>
  <c r="C1259" i="5"/>
  <c r="E1259" i="5" s="1"/>
  <c r="C1260" i="5"/>
  <c r="E1260" i="5" s="1"/>
  <c r="C1261" i="5"/>
  <c r="E1261" i="5" s="1"/>
  <c r="C1262" i="5"/>
  <c r="E1262" i="5" s="1"/>
  <c r="C1263" i="5"/>
  <c r="C1264" i="5"/>
  <c r="E1264" i="5" s="1"/>
  <c r="C1265" i="5"/>
  <c r="E1265" i="5" s="1"/>
  <c r="C1266" i="5"/>
  <c r="E1266" i="5" s="1"/>
  <c r="C1267" i="5"/>
  <c r="E1267" i="5" s="1"/>
  <c r="C1268" i="5"/>
  <c r="E1268" i="5" s="1"/>
  <c r="C1269" i="5"/>
  <c r="E1269" i="5" s="1"/>
  <c r="C1270" i="5"/>
  <c r="E1270" i="5" s="1"/>
  <c r="C1271" i="5"/>
  <c r="E1271" i="5" s="1"/>
  <c r="C1272" i="5"/>
  <c r="E1272" i="5" s="1"/>
  <c r="C1273" i="5"/>
  <c r="E1273" i="5" s="1"/>
  <c r="C1274" i="5"/>
  <c r="E1274" i="5" s="1"/>
  <c r="C1275" i="5"/>
  <c r="E1275" i="5" s="1"/>
  <c r="C1276" i="5"/>
  <c r="C1277" i="5"/>
  <c r="E1277" i="5" s="1"/>
  <c r="C1278" i="5"/>
  <c r="C1279" i="5"/>
  <c r="E1279" i="5" s="1"/>
  <c r="C1280" i="5"/>
  <c r="E1280" i="5" s="1"/>
  <c r="C1281" i="5"/>
  <c r="E1281" i="5" s="1"/>
  <c r="C1282" i="5"/>
  <c r="E1282" i="5" s="1"/>
  <c r="C1283" i="5"/>
  <c r="E1283" i="5" s="1"/>
  <c r="C1284" i="5"/>
  <c r="C1285" i="5"/>
  <c r="E1285" i="5" s="1"/>
  <c r="C1286" i="5"/>
  <c r="E1286" i="5" s="1"/>
  <c r="C1287" i="5"/>
  <c r="E1287" i="5" s="1"/>
  <c r="C1288" i="5"/>
  <c r="E1288" i="5" s="1"/>
  <c r="C1289" i="5"/>
  <c r="E1289" i="5" s="1"/>
  <c r="C1290" i="5"/>
  <c r="E1290" i="5" s="1"/>
  <c r="C1291" i="5"/>
  <c r="E1291" i="5" s="1"/>
  <c r="C1292" i="5"/>
  <c r="C1293" i="5"/>
  <c r="E1293" i="5" s="1"/>
  <c r="C1294" i="5"/>
  <c r="E1294" i="5" s="1"/>
  <c r="C1295" i="5"/>
  <c r="C1296" i="5"/>
  <c r="E1296" i="5" s="1"/>
  <c r="C1297" i="5"/>
  <c r="E1297" i="5" s="1"/>
  <c r="C1298" i="5"/>
  <c r="E1298" i="5" s="1"/>
  <c r="C1299" i="5"/>
  <c r="E1299" i="5" s="1"/>
  <c r="C1300" i="5"/>
  <c r="C1301" i="5"/>
  <c r="E1301" i="5" s="1"/>
  <c r="C1302" i="5"/>
  <c r="E1302" i="5" s="1"/>
  <c r="C1303" i="5"/>
  <c r="E1303" i="5" s="1"/>
  <c r="C1304" i="5"/>
  <c r="E1304" i="5" s="1"/>
  <c r="C1305" i="5"/>
  <c r="E1305" i="5" s="1"/>
  <c r="C1306" i="5"/>
  <c r="E1306" i="5" s="1"/>
  <c r="C1307" i="5"/>
  <c r="E1307" i="5" s="1"/>
  <c r="C1308" i="5"/>
  <c r="C1309" i="5"/>
  <c r="E1309" i="5" s="1"/>
  <c r="C1310" i="5"/>
  <c r="C1311" i="5"/>
  <c r="E1311" i="5" s="1"/>
  <c r="C1312" i="5"/>
  <c r="E1312" i="5" s="1"/>
  <c r="C1313" i="5"/>
  <c r="E1313" i="5" s="1"/>
  <c r="C1314" i="5"/>
  <c r="E1314" i="5" s="1"/>
  <c r="C1315" i="5"/>
  <c r="E1315" i="5" s="1"/>
  <c r="C1316" i="5"/>
  <c r="E1316" i="5" s="1"/>
  <c r="C1317" i="5"/>
  <c r="E1317" i="5" s="1"/>
  <c r="C1318" i="5"/>
  <c r="E1318" i="5" s="1"/>
  <c r="C1319" i="5"/>
  <c r="E1319" i="5" s="1"/>
  <c r="C1320" i="5"/>
  <c r="E1320" i="5" s="1"/>
  <c r="C1321" i="5"/>
  <c r="E1321" i="5" s="1"/>
  <c r="C1322" i="5"/>
  <c r="E1322" i="5" s="1"/>
  <c r="C1323" i="5"/>
  <c r="E1323" i="5" s="1"/>
  <c r="C1324" i="5"/>
  <c r="E1324" i="5" s="1"/>
  <c r="C1325" i="5"/>
  <c r="E1325" i="5" s="1"/>
  <c r="C1326" i="5"/>
  <c r="E1326" i="5" s="1"/>
  <c r="C1327" i="5"/>
  <c r="C1328" i="5"/>
  <c r="E1328" i="5" s="1"/>
  <c r="C1329" i="5"/>
  <c r="E1329" i="5" s="1"/>
  <c r="C1330" i="5"/>
  <c r="E1330" i="5" s="1"/>
  <c r="C1331" i="5"/>
  <c r="E1331" i="5" s="1"/>
  <c r="C1332" i="5"/>
  <c r="E1332" i="5" s="1"/>
  <c r="C1333" i="5"/>
  <c r="E1333" i="5" s="1"/>
  <c r="C1334" i="5"/>
  <c r="E1334" i="5" s="1"/>
  <c r="C1335" i="5"/>
  <c r="E1335" i="5" s="1"/>
  <c r="C1336" i="5"/>
  <c r="E1336" i="5" s="1"/>
  <c r="C1337" i="5"/>
  <c r="E1337" i="5" s="1"/>
  <c r="C1338" i="5"/>
  <c r="C1339" i="5"/>
  <c r="E1339" i="5" s="1"/>
  <c r="C1340" i="5"/>
  <c r="E1340" i="5" s="1"/>
  <c r="C1341" i="5"/>
  <c r="E1341" i="5" s="1"/>
  <c r="C1342" i="5"/>
  <c r="C1343" i="5"/>
  <c r="E1343" i="5" s="1"/>
  <c r="C1344" i="5"/>
  <c r="E1344" i="5" s="1"/>
  <c r="C1345" i="5"/>
  <c r="E1345" i="5" s="1"/>
  <c r="C1346" i="5"/>
  <c r="C1347" i="5"/>
  <c r="E1347" i="5" s="1"/>
  <c r="C1348" i="5"/>
  <c r="E1348" i="5" s="1"/>
  <c r="C1349" i="5"/>
  <c r="E1349" i="5" s="1"/>
  <c r="C1350" i="5"/>
  <c r="E1350" i="5" s="1"/>
  <c r="C1351" i="5"/>
  <c r="E1351" i="5" s="1"/>
  <c r="C1352" i="5"/>
  <c r="E1352" i="5" s="1"/>
  <c r="C1353" i="5"/>
  <c r="E1353" i="5" s="1"/>
  <c r="C1354" i="5"/>
  <c r="C1355" i="5"/>
  <c r="E1355" i="5" s="1"/>
  <c r="C1356" i="5"/>
  <c r="E1356" i="5" s="1"/>
  <c r="C1357" i="5"/>
  <c r="E1357" i="5" s="1"/>
  <c r="C1358" i="5"/>
  <c r="E1358" i="5" s="1"/>
  <c r="C1359" i="5"/>
  <c r="C1360" i="5"/>
  <c r="E1360" i="5" s="1"/>
  <c r="C1361" i="5"/>
  <c r="E1361" i="5" s="1"/>
  <c r="C1362" i="5"/>
  <c r="C1363" i="5"/>
  <c r="E1363" i="5" s="1"/>
  <c r="C1364" i="5"/>
  <c r="E1364" i="5" s="1"/>
  <c r="C1365" i="5"/>
  <c r="E1365" i="5" s="1"/>
  <c r="C1366" i="5"/>
  <c r="E1366" i="5" s="1"/>
  <c r="C1367" i="5"/>
  <c r="C1368" i="5"/>
  <c r="E1368" i="5" s="1"/>
  <c r="C1369" i="5"/>
  <c r="E1369" i="5" s="1"/>
  <c r="C1370" i="5"/>
  <c r="E1370" i="5" s="1"/>
  <c r="C1371" i="5"/>
  <c r="E1371" i="5" s="1"/>
  <c r="C1372" i="5"/>
  <c r="C1373" i="5"/>
  <c r="E1373" i="5" s="1"/>
  <c r="C1374" i="5"/>
  <c r="E1374" i="5" s="1"/>
  <c r="C1375" i="5"/>
  <c r="C1376" i="5"/>
  <c r="E1376" i="5" s="1"/>
  <c r="C1377" i="5"/>
  <c r="E1377" i="5" s="1"/>
  <c r="C1378" i="5"/>
  <c r="E1378" i="5" s="1"/>
  <c r="C1379" i="5"/>
  <c r="E1379" i="5" s="1"/>
  <c r="C1380" i="5"/>
  <c r="C1381" i="5"/>
  <c r="E1381" i="5" s="1"/>
  <c r="C1382" i="5"/>
  <c r="E1382" i="5" s="1"/>
  <c r="C1383" i="5"/>
  <c r="C1384" i="5"/>
  <c r="E1384" i="5" s="1"/>
  <c r="C1385" i="5"/>
  <c r="E1385" i="5" s="1"/>
  <c r="C1386" i="5"/>
  <c r="E1386" i="5" s="1"/>
  <c r="C1387" i="5"/>
  <c r="E1387" i="5" s="1"/>
  <c r="C1388" i="5"/>
  <c r="C1389" i="5"/>
  <c r="E1389" i="5" s="1"/>
  <c r="C1390" i="5"/>
  <c r="E1390" i="5" s="1"/>
  <c r="C1391" i="5"/>
  <c r="C1392" i="5"/>
  <c r="E1392" i="5" s="1"/>
  <c r="C1393" i="5"/>
  <c r="E1393" i="5" s="1"/>
  <c r="C1394" i="5"/>
  <c r="E1394" i="5" s="1"/>
  <c r="C1395" i="5"/>
  <c r="E1395" i="5" s="1"/>
  <c r="C1396" i="5"/>
  <c r="C1397" i="5"/>
  <c r="E1397" i="5" s="1"/>
  <c r="C1398" i="5"/>
  <c r="E1398" i="5" s="1"/>
  <c r="C1399" i="5"/>
  <c r="C1400" i="5"/>
  <c r="E1400" i="5" s="1"/>
  <c r="C1401" i="5"/>
  <c r="E1401" i="5" s="1"/>
  <c r="C1402" i="5"/>
  <c r="E1402" i="5" s="1"/>
  <c r="C1403" i="5"/>
  <c r="E1403" i="5" s="1"/>
  <c r="C1404" i="5"/>
  <c r="C1405" i="5"/>
  <c r="E1405" i="5" s="1"/>
  <c r="C1406" i="5"/>
  <c r="E1406" i="5" s="1"/>
  <c r="C1407" i="5"/>
  <c r="C1408" i="5"/>
  <c r="E1408" i="5" s="1"/>
  <c r="C1409" i="5"/>
  <c r="E1409" i="5" s="1"/>
  <c r="C1410" i="5"/>
  <c r="E1410" i="5" s="1"/>
  <c r="C1411" i="5"/>
  <c r="E1411" i="5" s="1"/>
  <c r="C1412" i="5"/>
  <c r="C1413" i="5"/>
  <c r="E1413" i="5" s="1"/>
  <c r="C1414" i="5"/>
  <c r="E1414" i="5" s="1"/>
  <c r="C1415" i="5"/>
  <c r="C1416" i="5"/>
  <c r="E1416" i="5" s="1"/>
  <c r="C1417" i="5"/>
  <c r="E1417" i="5" s="1"/>
  <c r="C1418" i="5"/>
  <c r="E1418" i="5" s="1"/>
  <c r="C1419" i="5"/>
  <c r="E1419" i="5" s="1"/>
  <c r="C1420" i="5"/>
  <c r="C1421" i="5"/>
  <c r="E1421" i="5" s="1"/>
  <c r="C1422" i="5"/>
  <c r="E1422" i="5" s="1"/>
  <c r="C1423" i="5"/>
  <c r="C1424" i="5"/>
  <c r="E1424" i="5" s="1"/>
  <c r="C1425" i="5"/>
  <c r="E1425" i="5" s="1"/>
  <c r="C1426" i="5"/>
  <c r="E1426" i="5" s="1"/>
  <c r="C1427" i="5"/>
  <c r="E1427" i="5" s="1"/>
  <c r="C1428" i="5"/>
  <c r="C1429" i="5"/>
  <c r="E1429" i="5" s="1"/>
  <c r="C1430" i="5"/>
  <c r="E1430" i="5" s="1"/>
  <c r="C1431" i="5"/>
  <c r="C1432" i="5"/>
  <c r="E1432" i="5" s="1"/>
  <c r="C1433" i="5"/>
  <c r="E1433" i="5" s="1"/>
  <c r="C1434" i="5"/>
  <c r="E1434" i="5" s="1"/>
  <c r="C1435" i="5"/>
  <c r="E1435" i="5" s="1"/>
  <c r="C1436" i="5"/>
  <c r="E1436" i="5" s="1"/>
  <c r="C1437" i="5"/>
  <c r="E1437" i="5" s="1"/>
  <c r="C1438" i="5"/>
  <c r="E1438" i="5" s="1"/>
  <c r="C1439" i="5"/>
  <c r="C1440" i="5"/>
  <c r="E1440" i="5" s="1"/>
  <c r="C1441" i="5"/>
  <c r="E1441" i="5" s="1"/>
  <c r="C1442" i="5"/>
  <c r="E1442" i="5" s="1"/>
  <c r="C1443" i="5"/>
  <c r="E1443" i="5" s="1"/>
  <c r="C1444" i="5"/>
  <c r="E1444" i="5" s="1"/>
  <c r="C1445" i="5"/>
  <c r="E1445" i="5" s="1"/>
  <c r="C1446" i="5"/>
  <c r="E1446" i="5" s="1"/>
  <c r="C1447" i="5"/>
  <c r="C1448" i="5"/>
  <c r="E1448" i="5" s="1"/>
  <c r="C1449" i="5"/>
  <c r="E1449" i="5" s="1"/>
  <c r="C1450" i="5"/>
  <c r="E1450" i="5" s="1"/>
  <c r="C1451" i="5"/>
  <c r="E1451" i="5" s="1"/>
  <c r="C1452" i="5"/>
  <c r="E1452" i="5" s="1"/>
  <c r="C1453" i="5"/>
  <c r="E1453" i="5" s="1"/>
  <c r="C1454" i="5"/>
  <c r="E1454" i="5" s="1"/>
  <c r="C1455" i="5"/>
  <c r="C1456" i="5"/>
  <c r="E1456" i="5" s="1"/>
  <c r="C1457" i="5"/>
  <c r="E1457" i="5" s="1"/>
  <c r="C1458" i="5"/>
  <c r="E1458" i="5" s="1"/>
  <c r="C1459" i="5"/>
  <c r="E1459" i="5" s="1"/>
  <c r="C1460" i="5"/>
  <c r="E1460" i="5" s="1"/>
  <c r="C1461" i="5"/>
  <c r="E1461" i="5" s="1"/>
  <c r="C1462" i="5"/>
  <c r="E1462" i="5" s="1"/>
  <c r="C1463" i="5"/>
  <c r="C1464" i="5"/>
  <c r="E1464" i="5" s="1"/>
  <c r="C1465" i="5"/>
  <c r="E1465" i="5" s="1"/>
  <c r="C1466" i="5"/>
  <c r="E1466" i="5" s="1"/>
  <c r="C1467" i="5"/>
  <c r="E1467" i="5" s="1"/>
  <c r="C1468" i="5"/>
  <c r="E1468" i="5" s="1"/>
  <c r="C1469" i="5"/>
  <c r="E1469" i="5" s="1"/>
  <c r="C1470" i="5"/>
  <c r="E1470" i="5" s="1"/>
  <c r="C1471" i="5"/>
  <c r="C1472" i="5"/>
  <c r="E1472" i="5" s="1"/>
  <c r="B1" i="5"/>
  <c r="E1362" i="5" l="1"/>
  <c r="E1354" i="5"/>
  <c r="E1346" i="5"/>
  <c r="E1338" i="5"/>
  <c r="E1146" i="5"/>
  <c r="E1138" i="5"/>
  <c r="E890" i="5"/>
  <c r="E874" i="5"/>
  <c r="E866" i="5"/>
  <c r="E786" i="5"/>
  <c r="E370" i="5"/>
  <c r="E362" i="5"/>
  <c r="E354" i="5"/>
  <c r="E346" i="5"/>
  <c r="E338" i="5"/>
  <c r="E202" i="5"/>
  <c r="E194" i="5"/>
  <c r="E186" i="5"/>
  <c r="E178" i="5"/>
  <c r="E170" i="5"/>
  <c r="E162" i="5"/>
  <c r="E154" i="5"/>
  <c r="E90" i="5"/>
  <c r="E82" i="5"/>
  <c r="E74" i="5"/>
  <c r="E66" i="5"/>
  <c r="E58" i="5"/>
  <c r="E50" i="5"/>
  <c r="E42" i="5"/>
  <c r="E26" i="5"/>
  <c r="E18" i="5"/>
  <c r="E10" i="5"/>
  <c r="E1249" i="5"/>
  <c r="E1241" i="5"/>
  <c r="E1233" i="5"/>
  <c r="E1225" i="5"/>
  <c r="E1217" i="5"/>
  <c r="E1209" i="5"/>
  <c r="E1201" i="5"/>
  <c r="E1193" i="5"/>
  <c r="E1185" i="5"/>
  <c r="E1177" i="5"/>
  <c r="E1169" i="5"/>
  <c r="E1161" i="5"/>
  <c r="E1153" i="5"/>
  <c r="E1089" i="5"/>
  <c r="E1081" i="5"/>
  <c r="E1025" i="5"/>
  <c r="E1017" i="5"/>
  <c r="E657" i="5"/>
  <c r="E649" i="5"/>
  <c r="E641" i="5"/>
  <c r="E593" i="5"/>
  <c r="E585" i="5"/>
  <c r="E577" i="5"/>
  <c r="E569" i="5"/>
  <c r="E561" i="5"/>
  <c r="E553" i="5"/>
  <c r="E545" i="5"/>
  <c r="E409" i="5"/>
  <c r="E401" i="5"/>
  <c r="E305" i="5"/>
  <c r="E297" i="5"/>
  <c r="E289" i="5"/>
  <c r="E281" i="5"/>
  <c r="E273" i="5"/>
  <c r="E265" i="5"/>
  <c r="E217" i="5"/>
  <c r="E209" i="5"/>
  <c r="E105" i="5"/>
  <c r="E97" i="5"/>
  <c r="E9" i="5"/>
  <c r="F16" i="4" s="1"/>
  <c r="J17" i="4"/>
  <c r="E887" i="5"/>
  <c r="E879" i="5"/>
  <c r="E871" i="5"/>
  <c r="E863" i="5"/>
  <c r="E855" i="5"/>
  <c r="E847" i="5"/>
  <c r="E839" i="5"/>
  <c r="E831" i="5"/>
  <c r="E823" i="5"/>
  <c r="E815" i="5"/>
  <c r="E807" i="5"/>
  <c r="E799" i="5"/>
  <c r="E791" i="5"/>
  <c r="E783" i="5"/>
  <c r="E775" i="5"/>
  <c r="E767" i="5"/>
  <c r="E759" i="5"/>
  <c r="E751" i="5"/>
  <c r="E743" i="5"/>
  <c r="E735" i="5"/>
  <c r="E495" i="5"/>
  <c r="E487" i="5"/>
  <c r="E423" i="5"/>
  <c r="E415" i="5"/>
  <c r="E367" i="5"/>
  <c r="E359" i="5"/>
  <c r="E199" i="5"/>
  <c r="E191" i="5"/>
  <c r="E183" i="5"/>
  <c r="E175" i="5"/>
  <c r="E167" i="5"/>
  <c r="E87" i="5"/>
  <c r="E79" i="5"/>
  <c r="E63" i="5"/>
  <c r="E55" i="5"/>
  <c r="E384" i="5"/>
  <c r="E726" i="5"/>
  <c r="E718" i="5"/>
  <c r="E710" i="5"/>
  <c r="E702" i="5"/>
  <c r="E694" i="5"/>
  <c r="E686" i="5"/>
  <c r="E678" i="5"/>
  <c r="E670" i="5"/>
  <c r="E662" i="5"/>
  <c r="E654" i="5"/>
  <c r="E646" i="5"/>
  <c r="E478" i="5"/>
  <c r="E470" i="5"/>
  <c r="E462" i="5"/>
  <c r="E454" i="5"/>
  <c r="E446" i="5"/>
  <c r="E438" i="5"/>
  <c r="E310" i="5"/>
  <c r="E302" i="5"/>
  <c r="E294" i="5"/>
  <c r="E286" i="5"/>
  <c r="E278" i="5"/>
  <c r="E254" i="5"/>
  <c r="E246" i="5"/>
  <c r="E238" i="5"/>
  <c r="E230" i="5"/>
  <c r="E222" i="5"/>
  <c r="E214" i="5"/>
  <c r="E206" i="5"/>
  <c r="E142" i="5"/>
  <c r="E134" i="5"/>
  <c r="E126" i="5"/>
  <c r="E118" i="5"/>
  <c r="E110" i="5"/>
  <c r="E102" i="5"/>
  <c r="E94" i="5"/>
  <c r="E30" i="5"/>
  <c r="E22" i="5"/>
  <c r="E6" i="5"/>
  <c r="H12" i="4" s="1"/>
  <c r="E392" i="5"/>
  <c r="E376" i="5"/>
  <c r="E1149" i="5"/>
  <c r="E1141" i="5"/>
  <c r="E1133" i="5"/>
  <c r="E1005" i="5"/>
  <c r="E997" i="5"/>
  <c r="E989" i="5"/>
  <c r="E981" i="5"/>
  <c r="E973" i="5"/>
  <c r="E637" i="5"/>
  <c r="E629" i="5"/>
  <c r="E621" i="5"/>
  <c r="E613" i="5"/>
  <c r="E605" i="5"/>
  <c r="E597" i="5"/>
  <c r="E533" i="5"/>
  <c r="E525" i="5"/>
  <c r="E517" i="5"/>
  <c r="E509" i="5"/>
  <c r="E357" i="5"/>
  <c r="E349" i="5"/>
  <c r="E341" i="5"/>
  <c r="E325" i="5"/>
  <c r="E317" i="5"/>
  <c r="E165" i="5"/>
  <c r="E157" i="5"/>
  <c r="E149" i="5"/>
  <c r="E53" i="5"/>
  <c r="D12" i="4" s="1"/>
  <c r="E45" i="5"/>
  <c r="E37" i="5"/>
  <c r="E1308" i="5"/>
  <c r="E1300" i="5"/>
  <c r="E1292" i="5"/>
  <c r="E1284" i="5"/>
  <c r="E1276" i="5"/>
  <c r="E1244" i="5"/>
  <c r="E1236" i="5"/>
  <c r="E1228" i="5"/>
  <c r="E1220" i="5"/>
  <c r="E1212" i="5"/>
  <c r="E1028" i="5"/>
  <c r="E1020" i="5"/>
  <c r="E1012" i="5"/>
  <c r="E964" i="5"/>
  <c r="E956" i="5"/>
  <c r="E852" i="5"/>
  <c r="E836" i="5"/>
  <c r="E828" i="5"/>
  <c r="E820" i="5"/>
  <c r="E812" i="5"/>
  <c r="E804" i="5"/>
  <c r="E796" i="5"/>
  <c r="E772" i="5"/>
  <c r="E764" i="5"/>
  <c r="E756" i="5"/>
  <c r="E748" i="5"/>
  <c r="E740" i="5"/>
  <c r="E588" i="5"/>
  <c r="E580" i="5"/>
  <c r="E572" i="5"/>
  <c r="E564" i="5"/>
  <c r="E556" i="5"/>
  <c r="E548" i="5"/>
  <c r="E540" i="5"/>
  <c r="E500" i="5"/>
  <c r="E492" i="5"/>
  <c r="E436" i="5"/>
  <c r="E428" i="5"/>
  <c r="E420" i="5"/>
  <c r="E412" i="5"/>
  <c r="E404" i="5"/>
  <c r="E276" i="5"/>
  <c r="E268" i="5"/>
  <c r="E260" i="5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" i="3"/>
  <c r="B13" i="4" l="1"/>
  <c r="B11" i="4"/>
  <c r="D11" i="4"/>
  <c r="D14" i="4"/>
  <c r="F8" i="4"/>
  <c r="F5" i="4"/>
  <c r="B14" i="4"/>
  <c r="F15" i="4"/>
  <c r="G15" i="4" s="1"/>
  <c r="H15" i="4"/>
  <c r="H10" i="4"/>
  <c r="H7" i="4"/>
  <c r="J7" i="4"/>
  <c r="F10" i="4"/>
  <c r="F11" i="4"/>
  <c r="J6" i="4"/>
  <c r="K6" i="4" s="1"/>
  <c r="H8" i="4"/>
  <c r="I8" i="4" s="1"/>
  <c r="H6" i="4"/>
  <c r="D17" i="4"/>
  <c r="E17" i="4" s="1"/>
  <c r="F17" i="4"/>
  <c r="F12" i="4"/>
  <c r="H9" i="4"/>
  <c r="F9" i="4"/>
  <c r="H5" i="4"/>
  <c r="F13" i="4"/>
  <c r="G13" i="4" s="1"/>
  <c r="B12" i="4"/>
  <c r="D4" i="4"/>
  <c r="E4" i="4" s="1"/>
  <c r="B9" i="4"/>
  <c r="B8" i="4"/>
  <c r="D8" i="4"/>
  <c r="D16" i="4"/>
  <c r="E16" i="4" s="1"/>
  <c r="J14" i="4"/>
  <c r="D15" i="4"/>
  <c r="E15" i="4" s="1"/>
  <c r="F14" i="4"/>
  <c r="H14" i="4"/>
  <c r="I14" i="4" s="1"/>
  <c r="B15" i="4"/>
  <c r="J12" i="4"/>
  <c r="J4" i="4"/>
  <c r="D7" i="4"/>
  <c r="D13" i="4"/>
  <c r="J9" i="4"/>
  <c r="K9" i="4" s="1"/>
  <c r="B10" i="4"/>
  <c r="D5" i="4"/>
  <c r="H16" i="4"/>
  <c r="B17" i="4"/>
  <c r="C17" i="4" s="1"/>
  <c r="B16" i="4"/>
  <c r="D10" i="4"/>
  <c r="F4" i="4"/>
  <c r="F6" i="4"/>
  <c r="G6" i="4" s="1"/>
  <c r="B5" i="4"/>
  <c r="J10" i="4"/>
  <c r="B6" i="4"/>
  <c r="H11" i="4"/>
  <c r="J11" i="4"/>
  <c r="K11" i="4" s="1"/>
  <c r="B7" i="4"/>
  <c r="B4" i="4"/>
  <c r="C4" i="4" s="1"/>
  <c r="H4" i="4"/>
  <c r="I4" i="4" s="1"/>
  <c r="H17" i="4"/>
  <c r="J15" i="4"/>
  <c r="K15" i="4" s="1"/>
  <c r="F7" i="4"/>
  <c r="J16" i="4"/>
  <c r="K16" i="4" s="1"/>
  <c r="D9" i="4"/>
  <c r="E9" i="4" s="1"/>
  <c r="H13" i="4"/>
  <c r="I13" i="4" s="1"/>
  <c r="J13" i="4"/>
  <c r="K13" i="4" s="1"/>
  <c r="J8" i="4"/>
  <c r="K8" i="4" s="1"/>
  <c r="J5" i="4"/>
  <c r="K5" i="4" s="1"/>
  <c r="D6" i="4"/>
  <c r="E6" i="4" s="1"/>
  <c r="G12" i="4"/>
  <c r="C15" i="4"/>
  <c r="G5" i="4"/>
  <c r="E5" i="4"/>
  <c r="C13" i="4"/>
  <c r="I6" i="4"/>
  <c r="I15" i="4"/>
  <c r="I7" i="4"/>
  <c r="G10" i="4"/>
  <c r="E7" i="4"/>
  <c r="C10" i="4"/>
  <c r="I12" i="4"/>
  <c r="G9" i="4"/>
  <c r="K10" i="4"/>
  <c r="I10" i="4"/>
  <c r="G7" i="4"/>
  <c r="I17" i="4"/>
  <c r="G14" i="4"/>
  <c r="E11" i="4"/>
  <c r="C8" i="4"/>
  <c r="K4" i="4"/>
  <c r="G17" i="4"/>
  <c r="E14" i="4"/>
  <c r="C11" i="4"/>
  <c r="K7" i="4"/>
  <c r="K14" i="4"/>
  <c r="E12" i="4"/>
  <c r="C9" i="4"/>
  <c r="E13" i="4"/>
  <c r="C6" i="4"/>
  <c r="C16" i="4"/>
  <c r="K12" i="4"/>
  <c r="I9" i="4"/>
  <c r="G16" i="4"/>
  <c r="G8" i="4"/>
  <c r="I16" i="4"/>
  <c r="E10" i="4"/>
  <c r="C7" i="4"/>
  <c r="K17" i="4"/>
  <c r="G11" i="4"/>
  <c r="E8" i="4"/>
  <c r="C5" i="4"/>
  <c r="I11" i="4"/>
  <c r="G4" i="4"/>
  <c r="C12" i="4"/>
  <c r="I5" i="4"/>
  <c r="C14" i="4"/>
  <c r="D32" i="2"/>
  <c r="E30" i="2"/>
  <c r="E5" i="2"/>
  <c r="E9" i="2"/>
  <c r="E13" i="2"/>
  <c r="E17" i="2"/>
  <c r="E21" i="2"/>
  <c r="E25" i="2"/>
  <c r="E29" i="2"/>
  <c r="F5" i="2"/>
  <c r="E6" i="2"/>
  <c r="E10" i="2"/>
  <c r="E14" i="2"/>
  <c r="E18" i="2"/>
  <c r="E22" i="2"/>
  <c r="E26" i="2"/>
  <c r="E7" i="2"/>
  <c r="E11" i="2"/>
  <c r="E15" i="2"/>
  <c r="E19" i="2"/>
  <c r="E23" i="2"/>
  <c r="E27" i="2"/>
  <c r="E31" i="2"/>
  <c r="E8" i="2"/>
  <c r="E12" i="2"/>
  <c r="E16" i="2"/>
  <c r="E20" i="2"/>
  <c r="E24" i="2"/>
  <c r="E28" i="2"/>
  <c r="C32" i="2"/>
  <c r="F32" i="2" l="1"/>
  <c r="E32" i="2"/>
</calcChain>
</file>

<file path=xl/sharedStrings.xml><?xml version="1.0" encoding="utf-8"?>
<sst xmlns="http://schemas.openxmlformats.org/spreadsheetml/2006/main" count="679" uniqueCount="130">
  <si>
    <t>동</t>
    <phoneticPr fontId="2" type="noConversion"/>
  </si>
  <si>
    <t>호</t>
    <phoneticPr fontId="2" type="noConversion"/>
  </si>
  <si>
    <t>세대수</t>
    <phoneticPr fontId="2" type="noConversion"/>
  </si>
  <si>
    <t>합계</t>
    <phoneticPr fontId="2" type="noConversion"/>
  </si>
  <si>
    <t>가입률</t>
    <phoneticPr fontId="2" type="noConversion"/>
  </si>
  <si>
    <t>1호</t>
    <phoneticPr fontId="2" type="noConversion"/>
  </si>
  <si>
    <t>2호</t>
    <phoneticPr fontId="2" type="noConversion"/>
  </si>
  <si>
    <t>3호</t>
    <phoneticPr fontId="2" type="noConversion"/>
  </si>
  <si>
    <t>4호</t>
    <phoneticPr fontId="2" type="noConversion"/>
  </si>
  <si>
    <t>5호</t>
    <phoneticPr fontId="2" type="noConversion"/>
  </si>
  <si>
    <t>동별 카페 가입수 현황</t>
    <phoneticPr fontId="2" type="noConversion"/>
  </si>
  <si>
    <t>가입</t>
    <phoneticPr fontId="2" type="noConversion"/>
  </si>
  <si>
    <t>미가입</t>
    <phoneticPr fontId="2" type="noConversion"/>
  </si>
  <si>
    <t>동</t>
    <phoneticPr fontId="2" type="noConversion"/>
  </si>
  <si>
    <t>호</t>
    <phoneticPr fontId="2" type="noConversion"/>
  </si>
  <si>
    <t>1호</t>
    <phoneticPr fontId="2" type="noConversion"/>
  </si>
  <si>
    <t>2호</t>
    <phoneticPr fontId="2" type="noConversion"/>
  </si>
  <si>
    <t>3호</t>
    <phoneticPr fontId="2" type="noConversion"/>
  </si>
  <si>
    <t>4호</t>
    <phoneticPr fontId="2" type="noConversion"/>
  </si>
  <si>
    <t>5호</t>
    <phoneticPr fontId="2" type="noConversion"/>
  </si>
  <si>
    <t>110A</t>
  </si>
  <si>
    <t>110B</t>
    <phoneticPr fontId="2" type="noConversion"/>
  </si>
  <si>
    <t>59A</t>
  </si>
  <si>
    <t>59B</t>
    <phoneticPr fontId="2" type="noConversion"/>
  </si>
  <si>
    <t>84A</t>
  </si>
  <si>
    <t>84B</t>
    <phoneticPr fontId="2" type="noConversion"/>
  </si>
  <si>
    <t>212</t>
  </si>
  <si>
    <t>1101</t>
  </si>
  <si>
    <t>210</t>
  </si>
  <si>
    <t>1201</t>
  </si>
  <si>
    <t>208</t>
  </si>
  <si>
    <t>503</t>
  </si>
  <si>
    <t>224</t>
  </si>
  <si>
    <t>1403</t>
  </si>
  <si>
    <t>203</t>
  </si>
  <si>
    <t>1104</t>
  </si>
  <si>
    <t>222</t>
  </si>
  <si>
    <t>1404</t>
  </si>
  <si>
    <t>213</t>
  </si>
  <si>
    <t>501</t>
  </si>
  <si>
    <t>207</t>
  </si>
  <si>
    <t>1401</t>
  </si>
  <si>
    <t>1305</t>
  </si>
  <si>
    <t>504</t>
  </si>
  <si>
    <t>215</t>
  </si>
  <si>
    <t>1304</t>
  </si>
  <si>
    <t>217</t>
  </si>
  <si>
    <t>1204</t>
  </si>
  <si>
    <t>403</t>
  </si>
  <si>
    <t>1402</t>
  </si>
  <si>
    <t>1004</t>
  </si>
  <si>
    <t>1303</t>
  </si>
  <si>
    <t>804</t>
  </si>
  <si>
    <t>204</t>
  </si>
  <si>
    <t>704</t>
  </si>
  <si>
    <t>1301</t>
  </si>
  <si>
    <t>226</t>
  </si>
  <si>
    <t>211</t>
  </si>
  <si>
    <t>1005</t>
  </si>
  <si>
    <t>1003</t>
  </si>
  <si>
    <t>1105</t>
  </si>
  <si>
    <t>214</t>
  </si>
  <si>
    <t>110</t>
  </si>
  <si>
    <t>1203</t>
  </si>
  <si>
    <t>404</t>
  </si>
  <si>
    <t>604</t>
  </si>
  <si>
    <t>202</t>
  </si>
  <si>
    <t>701</t>
  </si>
  <si>
    <t>101</t>
  </si>
  <si>
    <t>901</t>
  </si>
  <si>
    <t>801</t>
  </si>
  <si>
    <t>227</t>
  </si>
  <si>
    <t>401</t>
  </si>
  <si>
    <t>220</t>
  </si>
  <si>
    <t>705</t>
  </si>
  <si>
    <t>1302</t>
  </si>
  <si>
    <t>805</t>
  </si>
  <si>
    <t>201</t>
  </si>
  <si>
    <t>219</t>
  </si>
  <si>
    <t>1102</t>
  </si>
  <si>
    <t>225</t>
  </si>
  <si>
    <t>603</t>
  </si>
  <si>
    <t>703</t>
  </si>
  <si>
    <t>209</t>
  </si>
  <si>
    <t>206</t>
  </si>
  <si>
    <t>221</t>
  </si>
  <si>
    <t>502</t>
  </si>
  <si>
    <t>102</t>
  </si>
  <si>
    <t>803</t>
  </si>
  <si>
    <t>305</t>
  </si>
  <si>
    <t>902</t>
  </si>
  <si>
    <t>904</t>
  </si>
  <si>
    <t>218</t>
  </si>
  <si>
    <t>1103</t>
  </si>
  <si>
    <t>1002</t>
  </si>
  <si>
    <t>903</t>
  </si>
  <si>
    <t>1001</t>
  </si>
  <si>
    <t>601</t>
  </si>
  <si>
    <t>104</t>
  </si>
  <si>
    <t>205</t>
  </si>
  <si>
    <t>605</t>
  </si>
  <si>
    <t>301</t>
  </si>
  <si>
    <t>103</t>
  </si>
  <si>
    <t>405</t>
  </si>
  <si>
    <t>105</t>
  </si>
  <si>
    <t>303</t>
  </si>
  <si>
    <t>402</t>
  </si>
  <si>
    <t>905</t>
  </si>
  <si>
    <t>702</t>
  </si>
  <si>
    <t>223</t>
  </si>
  <si>
    <t>216</t>
  </si>
  <si>
    <t>602</t>
  </si>
  <si>
    <t>302</t>
  </si>
  <si>
    <t>1202</t>
  </si>
  <si>
    <t>1205</t>
  </si>
  <si>
    <t>802</t>
  </si>
  <si>
    <t>304</t>
  </si>
  <si>
    <t>부산민원</t>
  </si>
  <si>
    <t>부산 강서구 전자민원</t>
  </si>
  <si>
    <t>올댓강서</t>
  </si>
  <si>
    <t>부산교육청</t>
  </si>
  <si>
    <t>김도읍 의원실</t>
  </si>
  <si>
    <t>한국도로공사 (ex.co.kr)</t>
  </si>
  <si>
    <t>국토교통부</t>
  </si>
  <si>
    <t>부산시청</t>
  </si>
  <si>
    <t>강서구청</t>
  </si>
  <si>
    <t>부산 시민참여예산</t>
  </si>
  <si>
    <t>민원관련 사이트</t>
    <phoneticPr fontId="2" type="noConversion"/>
  </si>
  <si>
    <t>디에트르 그랑루체</t>
  </si>
  <si>
    <t>부산 에코델타시티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</si>
</sst>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0" fillId="0" borderId="11" xfId="0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41" fontId="0" fillId="0" borderId="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1" fontId="0" fillId="0" borderId="6" xfId="1" applyFont="1" applyBorder="1">
      <alignment vertical="center"/>
    </xf>
    <xf numFmtId="41" fontId="0" fillId="0" borderId="7" xfId="1" applyFont="1" applyBorder="1">
      <alignment vertical="center"/>
    </xf>
    <xf numFmtId="9" fontId="3" fillId="0" borderId="9" xfId="2" applyFont="1" applyBorder="1" applyAlignment="1">
      <alignment horizontal="center" vertical="center"/>
    </xf>
    <xf numFmtId="41" fontId="3" fillId="0" borderId="4" xfId="1" applyFont="1" applyBorder="1">
      <alignment vertical="center"/>
    </xf>
    <xf numFmtId="0" fontId="3" fillId="0" borderId="18" xfId="0" applyFont="1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3" fillId="2" borderId="0" xfId="0" applyFont="1" applyFill="1">
      <alignment vertical="center"/>
    </xf>
    <xf numFmtId="0" fontId="6" fillId="4" borderId="0" xfId="0" applyFont="1" applyFill="1">
      <alignment vertical="center"/>
    </xf>
    <xf numFmtId="0" fontId="0" fillId="0" borderId="0" xfId="0" applyProtection="1">
      <alignment vertical="center"/>
      <protection hidden="1"/>
    </xf>
    <xf numFmtId="0" fontId="7" fillId="0" borderId="0" xfId="0" applyFont="1">
      <alignment vertical="center"/>
    </xf>
    <xf numFmtId="0" fontId="3" fillId="3" borderId="13" xfId="0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0" fontId="10" fillId="0" borderId="1" xfId="3" applyBorder="1">
      <alignment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14" fontId="11" fillId="0" borderId="0" xfId="0" applyNumberFormat="1" applyFont="1">
      <alignment vertical="center"/>
    </xf>
    <xf numFmtId="0" fontId="3" fillId="3" borderId="15" xfId="0" applyFont="1" applyFill="1" applyBorder="1" applyAlignment="1" applyProtection="1">
      <alignment horizontal="center" vertical="center"/>
      <protection locked="0" hidden="1"/>
    </xf>
    <xf numFmtId="0" fontId="3" fillId="3" borderId="14" xfId="0" applyFont="1" applyFill="1" applyBorder="1" applyAlignment="1" applyProtection="1">
      <alignment horizontal="center" vertical="center"/>
      <protection locked="0" hidden="1"/>
    </xf>
    <xf numFmtId="0" fontId="3" fillId="3" borderId="14" xfId="0" applyFont="1" applyFill="1" applyBorder="1" applyAlignment="1" applyProtection="1">
      <alignment horizontal="center" vertical="center"/>
      <protection hidden="1"/>
    </xf>
    <xf numFmtId="0" fontId="3" fillId="3" borderId="13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4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color rgb="FFFF0000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san.go.kr/index" TargetMode="External"/><Relationship Id="rId3" Type="http://schemas.openxmlformats.org/officeDocument/2006/relationships/hyperlink" Target="https://cafe.naver.com/allthatgangseo" TargetMode="External"/><Relationship Id="rId7" Type="http://schemas.openxmlformats.org/officeDocument/2006/relationships/hyperlink" Target="http://www.molit.go.kr/" TargetMode="External"/><Relationship Id="rId12" Type="http://schemas.openxmlformats.org/officeDocument/2006/relationships/hyperlink" Target="https://www.kwater.or.kr/website/ecodeltacity.do" TargetMode="External"/><Relationship Id="rId2" Type="http://schemas.openxmlformats.org/officeDocument/2006/relationships/hyperlink" Target="https://www.bsgangseo.go.kr/bsgangseo/contents.do?mId=0101020000" TargetMode="External"/><Relationship Id="rId1" Type="http://schemas.openxmlformats.org/officeDocument/2006/relationships/hyperlink" Target="https://www.busan.go.kr/minwon/suggest" TargetMode="External"/><Relationship Id="rId6" Type="http://schemas.openxmlformats.org/officeDocument/2006/relationships/hyperlink" Target="https://www.ex.co.kr/" TargetMode="External"/><Relationship Id="rId11" Type="http://schemas.openxmlformats.org/officeDocument/2006/relationships/hyperlink" Target="http://detre-eco2.co.kr/html/main/main.php" TargetMode="External"/><Relationship Id="rId5" Type="http://schemas.openxmlformats.org/officeDocument/2006/relationships/hyperlink" Target="http://www.kimdoeup.com/" TargetMode="External"/><Relationship Id="rId10" Type="http://schemas.openxmlformats.org/officeDocument/2006/relationships/hyperlink" Target="http://www.busan.go.kr/yesan/suggest1" TargetMode="External"/><Relationship Id="rId4" Type="http://schemas.openxmlformats.org/officeDocument/2006/relationships/hyperlink" Target="https://www.pen.go.kr/main/main.do?checkRefer=Y" TargetMode="External"/><Relationship Id="rId9" Type="http://schemas.openxmlformats.org/officeDocument/2006/relationships/hyperlink" Target="https://www.bsgangseo.go.k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workbookViewId="0">
      <selection activeCell="B37" sqref="B37"/>
    </sheetView>
  </sheetViews>
  <sheetFormatPr defaultRowHeight="17.399999999999999" x14ac:dyDescent="0.4"/>
  <cols>
    <col min="2" max="2" width="26.69921875" customWidth="1"/>
    <col min="3" max="3" width="27.19921875" customWidth="1"/>
  </cols>
  <sheetData>
    <row r="2" spans="2:2" x14ac:dyDescent="0.4">
      <c r="B2" s="36" t="s">
        <v>127</v>
      </c>
    </row>
    <row r="3" spans="2:2" ht="9" customHeight="1" x14ac:dyDescent="0.4">
      <c r="B3" s="36"/>
    </row>
    <row r="4" spans="2:2" x14ac:dyDescent="0.4">
      <c r="B4" s="37" t="s">
        <v>117</v>
      </c>
    </row>
    <row r="5" spans="2:2" x14ac:dyDescent="0.4">
      <c r="B5" s="37" t="s">
        <v>126</v>
      </c>
    </row>
    <row r="6" spans="2:2" x14ac:dyDescent="0.4">
      <c r="B6" s="37" t="s">
        <v>118</v>
      </c>
    </row>
    <row r="7" spans="2:2" x14ac:dyDescent="0.4">
      <c r="B7" s="37" t="s">
        <v>119</v>
      </c>
    </row>
    <row r="8" spans="2:2" x14ac:dyDescent="0.4">
      <c r="B8" s="37" t="s">
        <v>120</v>
      </c>
    </row>
    <row r="9" spans="2:2" x14ac:dyDescent="0.4">
      <c r="B9" s="37" t="s">
        <v>121</v>
      </c>
    </row>
    <row r="10" spans="2:2" x14ac:dyDescent="0.4">
      <c r="B10" s="37" t="s">
        <v>122</v>
      </c>
    </row>
    <row r="11" spans="2:2" x14ac:dyDescent="0.4">
      <c r="B11" s="37" t="s">
        <v>123</v>
      </c>
    </row>
    <row r="12" spans="2:2" x14ac:dyDescent="0.4">
      <c r="B12" s="37" t="s">
        <v>124</v>
      </c>
    </row>
    <row r="13" spans="2:2" x14ac:dyDescent="0.4">
      <c r="B13" s="37" t="s">
        <v>125</v>
      </c>
    </row>
    <row r="14" spans="2:2" x14ac:dyDescent="0.4">
      <c r="B14" s="37" t="s">
        <v>128</v>
      </c>
    </row>
    <row r="15" spans="2:2" x14ac:dyDescent="0.4">
      <c r="B15" s="37" t="s">
        <v>129</v>
      </c>
    </row>
  </sheetData>
  <phoneticPr fontId="2" type="noConversion"/>
  <hyperlinks>
    <hyperlink ref="B4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display="https://www.ex.co.kr/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5" r:id="rId10" xr:uid="{00000000-0004-0000-0000-000009000000}"/>
    <hyperlink ref="B14" r:id="rId11" xr:uid="{00000000-0004-0000-0000-00000A000000}"/>
    <hyperlink ref="B15" r:id="rId12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2"/>
  <sheetViews>
    <sheetView showGridLines="0" workbookViewId="0">
      <selection activeCell="K18" sqref="K18"/>
    </sheetView>
  </sheetViews>
  <sheetFormatPr defaultRowHeight="17.399999999999999" x14ac:dyDescent="0.4"/>
  <cols>
    <col min="1" max="1" width="4.8984375" customWidth="1"/>
    <col min="2" max="5" width="12.8984375" customWidth="1"/>
    <col min="6" max="6" width="12.19921875" customWidth="1"/>
    <col min="7" max="7" width="4.8984375" customWidth="1"/>
  </cols>
  <sheetData>
    <row r="1" spans="2:6" ht="16.5" customHeight="1" x14ac:dyDescent="0.4">
      <c r="B1" s="45" t="s">
        <v>10</v>
      </c>
      <c r="C1" s="45"/>
      <c r="D1" s="45"/>
      <c r="E1" s="45"/>
      <c r="F1" s="39"/>
    </row>
    <row r="2" spans="2:6" ht="16.5" customHeight="1" x14ac:dyDescent="0.4">
      <c r="B2" s="45"/>
      <c r="C2" s="45"/>
      <c r="D2" s="45"/>
      <c r="E2" s="45"/>
      <c r="F2" s="40">
        <f ca="1">TODAY()</f>
        <v>46121</v>
      </c>
    </row>
    <row r="3" spans="2:6" ht="7.5" customHeight="1" x14ac:dyDescent="0.4"/>
    <row r="4" spans="2:6" ht="27" customHeight="1" thickBot="1" x14ac:dyDescent="0.45">
      <c r="B4" s="4" t="s">
        <v>0</v>
      </c>
      <c r="C4" s="4" t="s">
        <v>2</v>
      </c>
      <c r="D4" s="4" t="s">
        <v>11</v>
      </c>
      <c r="E4" s="15" t="s">
        <v>4</v>
      </c>
      <c r="F4" s="17" t="s">
        <v>12</v>
      </c>
    </row>
    <row r="5" spans="2:6" ht="18" thickTop="1" x14ac:dyDescent="0.4">
      <c r="B5" s="3">
        <v>201</v>
      </c>
      <c r="C5" s="12">
        <f>COUNTIFS('동호 코드'!$A$3:$A$1472,카페가입요약!B5)</f>
        <v>52</v>
      </c>
      <c r="D5" s="12">
        <f>COUNTIF(raw!$B$2:$B$30000,카페가입요약!B5)</f>
        <v>12</v>
      </c>
      <c r="E5" s="16">
        <f>D5/C5</f>
        <v>0.23076923076923078</v>
      </c>
      <c r="F5" s="18">
        <f>C5-D5</f>
        <v>40</v>
      </c>
    </row>
    <row r="6" spans="2:6" x14ac:dyDescent="0.4">
      <c r="B6" s="1">
        <v>202</v>
      </c>
      <c r="C6" s="12">
        <f>COUNTIFS('동호 코드'!$A$3:$A$1472,카페가입요약!B6)</f>
        <v>56</v>
      </c>
      <c r="D6" s="13">
        <f>COUNTIF(raw!$B$2:$B$30000,카페가입요약!B6)</f>
        <v>11</v>
      </c>
      <c r="E6" s="16">
        <f t="shared" ref="E6:E32" si="0">D6/C6</f>
        <v>0.19642857142857142</v>
      </c>
      <c r="F6" s="19">
        <f t="shared" ref="F6:F32" si="1">C6-D6</f>
        <v>45</v>
      </c>
    </row>
    <row r="7" spans="2:6" x14ac:dyDescent="0.4">
      <c r="B7" s="1">
        <v>203</v>
      </c>
      <c r="C7" s="12">
        <f>COUNTIFS('동호 코드'!$A$3:$A$1472,카페가입요약!B7)</f>
        <v>56</v>
      </c>
      <c r="D7" s="13">
        <f>COUNTIF(raw!$B$2:$B$30000,카페가입요약!B7)</f>
        <v>18</v>
      </c>
      <c r="E7" s="16">
        <f t="shared" si="0"/>
        <v>0.32142857142857145</v>
      </c>
      <c r="F7" s="19">
        <f t="shared" si="1"/>
        <v>38</v>
      </c>
    </row>
    <row r="8" spans="2:6" x14ac:dyDescent="0.4">
      <c r="B8" s="1">
        <v>204</v>
      </c>
      <c r="C8" s="12">
        <f>COUNTIFS('동호 코드'!$A$3:$A$1472,카페가입요약!B8)</f>
        <v>56</v>
      </c>
      <c r="D8" s="13">
        <f>COUNTIF(raw!$B$2:$B$30000,카페가입요약!B8)</f>
        <v>14</v>
      </c>
      <c r="E8" s="16">
        <f t="shared" si="0"/>
        <v>0.25</v>
      </c>
      <c r="F8" s="19">
        <f t="shared" si="1"/>
        <v>42</v>
      </c>
    </row>
    <row r="9" spans="2:6" x14ac:dyDescent="0.4">
      <c r="B9" s="1">
        <v>205</v>
      </c>
      <c r="C9" s="12">
        <f>COUNTIFS('동호 코드'!$A$3:$A$1472,카페가입요약!B9)</f>
        <v>54</v>
      </c>
      <c r="D9" s="13">
        <f>COUNTIF(raw!$B$2:$B$30000,카페가입요약!B9)</f>
        <v>9</v>
      </c>
      <c r="E9" s="16">
        <f t="shared" si="0"/>
        <v>0.16666666666666666</v>
      </c>
      <c r="F9" s="19">
        <f t="shared" si="1"/>
        <v>45</v>
      </c>
    </row>
    <row r="10" spans="2:6" x14ac:dyDescent="0.4">
      <c r="B10" s="1">
        <v>206</v>
      </c>
      <c r="C10" s="12">
        <f>COUNTIFS('동호 코드'!$A$3:$A$1472,카페가입요약!B10)</f>
        <v>56</v>
      </c>
      <c r="D10" s="13">
        <f>COUNTIF(raw!$B$2:$B$30000,카페가입요약!B10)</f>
        <v>8</v>
      </c>
      <c r="E10" s="16">
        <f t="shared" si="0"/>
        <v>0.14285714285714285</v>
      </c>
      <c r="F10" s="19">
        <f t="shared" si="1"/>
        <v>48</v>
      </c>
    </row>
    <row r="11" spans="2:6" x14ac:dyDescent="0.4">
      <c r="B11" s="1">
        <v>207</v>
      </c>
      <c r="C11" s="12">
        <f>COUNTIFS('동호 코드'!$A$3:$A$1472,카페가입요약!B11)</f>
        <v>40</v>
      </c>
      <c r="D11" s="13">
        <f>COUNTIF(raw!$B$2:$B$30000,카페가입요약!B11)</f>
        <v>7</v>
      </c>
      <c r="E11" s="16">
        <f t="shared" si="0"/>
        <v>0.17499999999999999</v>
      </c>
      <c r="F11" s="19">
        <f t="shared" si="1"/>
        <v>33</v>
      </c>
    </row>
    <row r="12" spans="2:6" x14ac:dyDescent="0.4">
      <c r="B12" s="1">
        <v>208</v>
      </c>
      <c r="C12" s="12">
        <f>COUNTIFS('동호 코드'!$A$3:$A$1472,카페가입요약!B12)</f>
        <v>38</v>
      </c>
      <c r="D12" s="13">
        <f>COUNTIF(raw!$B$2:$B$30000,카페가입요약!B12)</f>
        <v>10</v>
      </c>
      <c r="E12" s="16">
        <f t="shared" si="0"/>
        <v>0.26315789473684209</v>
      </c>
      <c r="F12" s="19">
        <f t="shared" si="1"/>
        <v>28</v>
      </c>
    </row>
    <row r="13" spans="2:6" x14ac:dyDescent="0.4">
      <c r="B13" s="1">
        <v>209</v>
      </c>
      <c r="C13" s="12">
        <f>COUNTIFS('동호 코드'!$A$3:$A$1472,카페가입요약!B13)</f>
        <v>41</v>
      </c>
      <c r="D13" s="13">
        <f>COUNTIF(raw!$B$2:$B$30000,카페가입요약!B13)</f>
        <v>10</v>
      </c>
      <c r="E13" s="16">
        <f t="shared" si="0"/>
        <v>0.24390243902439024</v>
      </c>
      <c r="F13" s="19">
        <f t="shared" si="1"/>
        <v>31</v>
      </c>
    </row>
    <row r="14" spans="2:6" x14ac:dyDescent="0.4">
      <c r="B14" s="1">
        <v>210</v>
      </c>
      <c r="C14" s="12">
        <f>COUNTIFS('동호 코드'!$A$3:$A$1472,카페가입요약!B14)</f>
        <v>51</v>
      </c>
      <c r="D14" s="13">
        <f>COUNTIF(raw!$B$2:$B$30000,카페가입요약!B14)</f>
        <v>14</v>
      </c>
      <c r="E14" s="16">
        <f t="shared" si="0"/>
        <v>0.27450980392156865</v>
      </c>
      <c r="F14" s="19">
        <f t="shared" si="1"/>
        <v>37</v>
      </c>
    </row>
    <row r="15" spans="2:6" x14ac:dyDescent="0.4">
      <c r="B15" s="1">
        <v>211</v>
      </c>
      <c r="C15" s="12">
        <f>COUNTIFS('동호 코드'!$A$3:$A$1472,카페가입요약!B15)</f>
        <v>37</v>
      </c>
      <c r="D15" s="13">
        <f>COUNTIF(raw!$B$2:$B$30000,카페가입요약!B15)</f>
        <v>10</v>
      </c>
      <c r="E15" s="16">
        <f t="shared" si="0"/>
        <v>0.27027027027027029</v>
      </c>
      <c r="F15" s="19">
        <f t="shared" si="1"/>
        <v>27</v>
      </c>
    </row>
    <row r="16" spans="2:6" x14ac:dyDescent="0.4">
      <c r="B16" s="1">
        <v>212</v>
      </c>
      <c r="C16" s="12">
        <f>COUNTIFS('동호 코드'!$A$3:$A$1472,카페가입요약!B16)</f>
        <v>56</v>
      </c>
      <c r="D16" s="13">
        <f>COUNTIF(raw!$B$2:$B$30000,카페가입요약!B16)</f>
        <v>11</v>
      </c>
      <c r="E16" s="16">
        <f t="shared" si="0"/>
        <v>0.19642857142857142</v>
      </c>
      <c r="F16" s="19">
        <f t="shared" si="1"/>
        <v>45</v>
      </c>
    </row>
    <row r="17" spans="2:6" x14ac:dyDescent="0.4">
      <c r="B17" s="1">
        <v>213</v>
      </c>
      <c r="C17" s="12">
        <f>COUNTIFS('동호 코드'!$A$3:$A$1472,카페가입요약!B17)</f>
        <v>67</v>
      </c>
      <c r="D17" s="13">
        <f>COUNTIF(raw!$B$2:$B$30000,카페가입요약!B17)</f>
        <v>17</v>
      </c>
      <c r="E17" s="16">
        <f t="shared" si="0"/>
        <v>0.2537313432835821</v>
      </c>
      <c r="F17" s="19">
        <f t="shared" si="1"/>
        <v>50</v>
      </c>
    </row>
    <row r="18" spans="2:6" x14ac:dyDescent="0.4">
      <c r="B18" s="1">
        <v>214</v>
      </c>
      <c r="C18" s="12">
        <f>COUNTIFS('동호 코드'!$A$3:$A$1472,카페가입요약!B18)</f>
        <v>70</v>
      </c>
      <c r="D18" s="13">
        <f>COUNTIF(raw!$B$2:$B$30000,카페가입요약!B18)</f>
        <v>17</v>
      </c>
      <c r="E18" s="16">
        <f t="shared" si="0"/>
        <v>0.24285714285714285</v>
      </c>
      <c r="F18" s="19">
        <f t="shared" si="1"/>
        <v>53</v>
      </c>
    </row>
    <row r="19" spans="2:6" x14ac:dyDescent="0.4">
      <c r="B19" s="1">
        <v>215</v>
      </c>
      <c r="C19" s="12">
        <f>COUNTIFS('동호 코드'!$A$3:$A$1472,카페가입요약!B19)</f>
        <v>60</v>
      </c>
      <c r="D19" s="13">
        <f>COUNTIF(raw!$B$2:$B$30000,카페가입요약!B19)</f>
        <v>15</v>
      </c>
      <c r="E19" s="16">
        <f t="shared" si="0"/>
        <v>0.25</v>
      </c>
      <c r="F19" s="19">
        <f t="shared" si="1"/>
        <v>45</v>
      </c>
    </row>
    <row r="20" spans="2:6" x14ac:dyDescent="0.4">
      <c r="B20" s="1">
        <v>216</v>
      </c>
      <c r="C20" s="12">
        <f>COUNTIFS('동호 코드'!$A$3:$A$1472,카페가입요약!B20)</f>
        <v>64</v>
      </c>
      <c r="D20" s="13">
        <f>COUNTIF(raw!$B$2:$B$30000,카페가입요약!B20)</f>
        <v>2</v>
      </c>
      <c r="E20" s="16">
        <f t="shared" si="0"/>
        <v>3.125E-2</v>
      </c>
      <c r="F20" s="19">
        <f t="shared" si="1"/>
        <v>62</v>
      </c>
    </row>
    <row r="21" spans="2:6" x14ac:dyDescent="0.4">
      <c r="B21" s="1">
        <v>217</v>
      </c>
      <c r="C21" s="12">
        <f>COUNTIFS('동호 코드'!$A$3:$A$1472,카페가입요약!B21)</f>
        <v>56</v>
      </c>
      <c r="D21" s="13">
        <f>COUNTIF(raw!$B$2:$B$30000,카페가입요약!B21)</f>
        <v>13</v>
      </c>
      <c r="E21" s="16">
        <f t="shared" si="0"/>
        <v>0.23214285714285715</v>
      </c>
      <c r="F21" s="19">
        <f t="shared" si="1"/>
        <v>43</v>
      </c>
    </row>
    <row r="22" spans="2:6" x14ac:dyDescent="0.4">
      <c r="B22" s="1">
        <v>218</v>
      </c>
      <c r="C22" s="12">
        <f>COUNTIFS('동호 코드'!$A$3:$A$1472,카페가입요약!B22)</f>
        <v>54</v>
      </c>
      <c r="D22" s="13">
        <f>COUNTIF(raw!$B$2:$B$30000,카페가입요약!B22)</f>
        <v>3</v>
      </c>
      <c r="E22" s="16">
        <f t="shared" si="0"/>
        <v>5.5555555555555552E-2</v>
      </c>
      <c r="F22" s="19">
        <f t="shared" si="1"/>
        <v>51</v>
      </c>
    </row>
    <row r="23" spans="2:6" x14ac:dyDescent="0.4">
      <c r="B23" s="1">
        <v>219</v>
      </c>
      <c r="C23" s="12">
        <f>COUNTIFS('동호 코드'!$A$3:$A$1472,카페가입요약!B23)</f>
        <v>64</v>
      </c>
      <c r="D23" s="13">
        <f>COUNTIF(raw!$B$2:$B$30000,카페가입요약!B23)</f>
        <v>9</v>
      </c>
      <c r="E23" s="16">
        <f t="shared" si="0"/>
        <v>0.140625</v>
      </c>
      <c r="F23" s="19">
        <f t="shared" si="1"/>
        <v>55</v>
      </c>
    </row>
    <row r="24" spans="2:6" x14ac:dyDescent="0.4">
      <c r="B24" s="1">
        <v>220</v>
      </c>
      <c r="C24" s="12">
        <f>COUNTIFS('동호 코드'!$A$3:$A$1472,카페가입요약!B24)</f>
        <v>64</v>
      </c>
      <c r="D24" s="13">
        <f>COUNTIF(raw!$B$2:$B$30000,카페가입요약!B24)</f>
        <v>13</v>
      </c>
      <c r="E24" s="16">
        <f t="shared" si="0"/>
        <v>0.203125</v>
      </c>
      <c r="F24" s="19">
        <f t="shared" si="1"/>
        <v>51</v>
      </c>
    </row>
    <row r="25" spans="2:6" x14ac:dyDescent="0.4">
      <c r="B25" s="1">
        <v>221</v>
      </c>
      <c r="C25" s="12">
        <f>COUNTIFS('동호 코드'!$A$3:$A$1472,카페가입요약!B25)</f>
        <v>55</v>
      </c>
      <c r="D25" s="13">
        <f>COUNTIF(raw!$B$2:$B$30000,카페가입요약!B25)</f>
        <v>9</v>
      </c>
      <c r="E25" s="16">
        <f t="shared" si="0"/>
        <v>0.16363636363636364</v>
      </c>
      <c r="F25" s="19">
        <f t="shared" si="1"/>
        <v>46</v>
      </c>
    </row>
    <row r="26" spans="2:6" x14ac:dyDescent="0.4">
      <c r="B26" s="1">
        <v>222</v>
      </c>
      <c r="C26" s="12">
        <f>COUNTIFS('동호 코드'!$A$3:$A$1472,카페가입요약!B26)</f>
        <v>55</v>
      </c>
      <c r="D26" s="13">
        <f>COUNTIF(raw!$B$2:$B$30000,카페가입요약!B26)</f>
        <v>12</v>
      </c>
      <c r="E26" s="16">
        <f t="shared" si="0"/>
        <v>0.21818181818181817</v>
      </c>
      <c r="F26" s="19">
        <f t="shared" si="1"/>
        <v>43</v>
      </c>
    </row>
    <row r="27" spans="2:6" x14ac:dyDescent="0.4">
      <c r="B27" s="1">
        <v>223</v>
      </c>
      <c r="C27" s="12">
        <f>COUNTIFS('동호 코드'!$A$3:$A$1472,카페가입요약!B27)</f>
        <v>64</v>
      </c>
      <c r="D27" s="13">
        <f>COUNTIF(raw!$B$2:$B$30000,카페가입요약!B27)</f>
        <v>11</v>
      </c>
      <c r="E27" s="16">
        <f t="shared" si="0"/>
        <v>0.171875</v>
      </c>
      <c r="F27" s="19">
        <f t="shared" si="1"/>
        <v>53</v>
      </c>
    </row>
    <row r="28" spans="2:6" x14ac:dyDescent="0.4">
      <c r="B28" s="1">
        <v>224</v>
      </c>
      <c r="C28" s="12">
        <f>COUNTIFS('동호 코드'!$A$3:$A$1472,카페가입요약!B28)</f>
        <v>64</v>
      </c>
      <c r="D28" s="13">
        <f>COUNTIF(raw!$B$2:$B$30000,카페가입요약!B28)</f>
        <v>16</v>
      </c>
      <c r="E28" s="16">
        <f t="shared" si="0"/>
        <v>0.25</v>
      </c>
      <c r="F28" s="19">
        <f t="shared" si="1"/>
        <v>48</v>
      </c>
    </row>
    <row r="29" spans="2:6" x14ac:dyDescent="0.4">
      <c r="B29" s="1">
        <v>225</v>
      </c>
      <c r="C29" s="12">
        <f>COUNTIFS('동호 코드'!$A$3:$A$1472,카페가입요약!B29)</f>
        <v>56</v>
      </c>
      <c r="D29" s="13">
        <f>COUNTIF(raw!$B$2:$B$30000,카페가입요약!B29)</f>
        <v>9</v>
      </c>
      <c r="E29" s="16">
        <f t="shared" si="0"/>
        <v>0.16071428571428573</v>
      </c>
      <c r="F29" s="19">
        <f t="shared" si="1"/>
        <v>47</v>
      </c>
    </row>
    <row r="30" spans="2:6" x14ac:dyDescent="0.4">
      <c r="B30" s="1">
        <v>226</v>
      </c>
      <c r="C30" s="12">
        <f>COUNTIFS('동호 코드'!$A$3:$A$1472,카페가입요약!B30)</f>
        <v>62</v>
      </c>
      <c r="D30" s="13">
        <f>COUNTIF(raw!$B$2:$B$30000,카페가입요약!B30)</f>
        <v>17</v>
      </c>
      <c r="E30" s="16">
        <f t="shared" si="0"/>
        <v>0.27419354838709675</v>
      </c>
      <c r="F30" s="19">
        <f t="shared" si="1"/>
        <v>45</v>
      </c>
    </row>
    <row r="31" spans="2:6" x14ac:dyDescent="0.4">
      <c r="B31" s="1">
        <v>227</v>
      </c>
      <c r="C31" s="12">
        <f>COUNTIFS('동호 코드'!$A$3:$A$1472,카페가입요약!B31)</f>
        <v>22</v>
      </c>
      <c r="D31" s="13">
        <f>COUNTIF(raw!$B$2:$B$30000,카페가입요약!B31)</f>
        <v>12</v>
      </c>
      <c r="E31" s="16">
        <f t="shared" si="0"/>
        <v>0.54545454545454541</v>
      </c>
      <c r="F31" s="19">
        <f t="shared" si="1"/>
        <v>10</v>
      </c>
    </row>
    <row r="32" spans="2:6" ht="18" thickBot="1" x14ac:dyDescent="0.45">
      <c r="B32" s="5" t="s">
        <v>3</v>
      </c>
      <c r="C32" s="14">
        <f>SUM(C5:C31)</f>
        <v>1470</v>
      </c>
      <c r="D32" s="14">
        <f>SUM(D5:D31)</f>
        <v>309</v>
      </c>
      <c r="E32" s="20">
        <f t="shared" si="0"/>
        <v>0.21020408163265306</v>
      </c>
      <c r="F32" s="21">
        <f t="shared" si="1"/>
        <v>1161</v>
      </c>
    </row>
  </sheetData>
  <mergeCells count="1">
    <mergeCell ref="B1:E2"/>
  </mergeCells>
  <phoneticPr fontId="2" type="noConversion"/>
  <conditionalFormatting sqref="E5:E32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{19043F40-7EA7-4F8E-B326-188533F22214}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043F40-7EA7-4F8E-B326-188533F22214}">
            <x14:dataBar minLength="0" maxLength="100" border="1" direction="leftToRight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showGridLines="0" tabSelected="1" workbookViewId="0">
      <selection activeCell="D11" sqref="D11"/>
    </sheetView>
  </sheetViews>
  <sheetFormatPr defaultRowHeight="17.399999999999999" x14ac:dyDescent="0.4"/>
  <cols>
    <col min="1" max="1" width="4.09765625" customWidth="1"/>
    <col min="2" max="2" width="11.8984375" customWidth="1"/>
    <col min="3" max="3" width="11.8984375" hidden="1" customWidth="1"/>
    <col min="4" max="4" width="11.8984375" customWidth="1"/>
    <col min="5" max="5" width="11.8984375" hidden="1" customWidth="1"/>
    <col min="6" max="6" width="11.8984375" customWidth="1"/>
    <col min="7" max="7" width="11.8984375" hidden="1" customWidth="1"/>
    <col min="8" max="8" width="11.8984375" customWidth="1"/>
    <col min="9" max="9" width="11.8984375" hidden="1" customWidth="1"/>
    <col min="10" max="10" width="11.8984375" customWidth="1"/>
    <col min="11" max="11" width="9" hidden="1" customWidth="1"/>
  </cols>
  <sheetData>
    <row r="1" spans="1:11" ht="18" thickBot="1" x14ac:dyDescent="0.45"/>
    <row r="2" spans="1:11" ht="27" customHeight="1" thickBot="1" x14ac:dyDescent="0.45">
      <c r="B2" s="8" t="s">
        <v>0</v>
      </c>
      <c r="C2" s="41">
        <v>221</v>
      </c>
      <c r="D2" s="42"/>
      <c r="E2" s="2"/>
      <c r="H2" s="38"/>
      <c r="I2" s="25"/>
      <c r="J2" s="26"/>
    </row>
    <row r="4" spans="1:11" x14ac:dyDescent="0.4">
      <c r="A4" s="32">
        <v>14</v>
      </c>
      <c r="B4" s="22" t="str">
        <f>IFERROR(INDEX('동호 코드'!$A$3:$E$1472,MATCH(카페동별상세!$C$2&amp;카페동별상세!$B$18&amp;카페동별상세!$A4,'동호 코드'!$E$3:$E$1472, 0),2),"X")</f>
        <v>X</v>
      </c>
      <c r="C4" s="10" t="str">
        <f>IF(COUNTIFS(raw!$D$2:$D$29895,카페동별상세!$C$2&amp;카페동별상세!B4)=1,"가입","")</f>
        <v/>
      </c>
      <c r="D4" s="22">
        <f>IFERROR(INDEX('동호 코드'!$A$3:$E$1472,MATCH(카페동별상세!$C$2&amp;카페동별상세!$D$18&amp;카페동별상세!$A4,'동호 코드'!$E$3:$E$1472, 0),2),"X")</f>
        <v>1402</v>
      </c>
      <c r="E4" s="10" t="str">
        <f>IF(COUNTIFS(raw!$D$2:$D$29895,카페동별상세!$C$2&amp;카페동별상세!D4)=1,"가입","")</f>
        <v/>
      </c>
      <c r="F4" s="22">
        <f>IFERROR(INDEX('동호 코드'!$A$3:$E$1472,MATCH(카페동별상세!$C$2&amp;카페동별상세!$F$18&amp;카페동별상세!$A4,'동호 코드'!$E$3:$E$1472, 0),2),"X")</f>
        <v>1403</v>
      </c>
      <c r="G4" s="10" t="str">
        <f>IF(COUNTIFS(raw!$D$2:$D$29895,카페동별상세!$C$2&amp;카페동별상세!F4)=1,"가입","")</f>
        <v>가입</v>
      </c>
      <c r="H4" s="22">
        <f>IFERROR(INDEX('동호 코드'!$A$3:$E$1472,MATCH(카페동별상세!$C$2&amp;카페동별상세!$H$18&amp;카페동별상세!$A4,'동호 코드'!$E$3:$E$1472, 0),2),"X")</f>
        <v>1404</v>
      </c>
      <c r="I4" s="10" t="str">
        <f>IF(COUNTIFS(raw!$D$2:$D$29895,카페동별상세!$C$2&amp;카페동별상세!H4)=1,"가입","")</f>
        <v>가입</v>
      </c>
      <c r="J4" s="22" t="str">
        <f>IFERROR(INDEX('동호 코드'!$A$3:$E$1472,MATCH(카페동별상세!$C$2&amp;카페동별상세!$J$18&amp;카페동별상세!$A4,'동호 코드'!$E$3:$E$1472, 0),2),"X")</f>
        <v>X</v>
      </c>
      <c r="K4" s="7" t="str">
        <f>IF(COUNTIFS(raw!$D$2:$D$29895,카페동별상세!$C$2&amp;카페동별상세!J4)=1,"가입","")</f>
        <v/>
      </c>
    </row>
    <row r="5" spans="1:11" x14ac:dyDescent="0.4">
      <c r="A5" s="32">
        <v>13</v>
      </c>
      <c r="B5" s="22">
        <f>IFERROR(INDEX('동호 코드'!$A$3:$E$1472,MATCH(카페동별상세!$C$2&amp;카페동별상세!$B$18&amp;카페동별상세!$A5,'동호 코드'!$E$3:$E$1472, 0),2),"X")</f>
        <v>1301</v>
      </c>
      <c r="C5" s="10" t="str">
        <f>IF(COUNTIFS(raw!$D$2:$D$29895,카페동별상세!$C$2&amp;카페동별상세!B5)=1,"가입","")</f>
        <v>가입</v>
      </c>
      <c r="D5" s="22">
        <f>IFERROR(INDEX('동호 코드'!$A$3:$E$1472,MATCH(카페동별상세!$C$2&amp;카페동별상세!$D$18&amp;카페동별상세!$A5,'동호 코드'!$E$3:$E$1472, 0),2),"X")</f>
        <v>1302</v>
      </c>
      <c r="E5" s="10" t="str">
        <f>IF(COUNTIFS(raw!$D$2:$D$29895,카페동별상세!$C$2&amp;카페동별상세!D5)=1,"가입","")</f>
        <v/>
      </c>
      <c r="F5" s="22">
        <f>IFERROR(INDEX('동호 코드'!$A$3:$E$1472,MATCH(카페동별상세!$C$2&amp;카페동별상세!$F$18&amp;카페동별상세!$A5,'동호 코드'!$E$3:$E$1472, 0),2),"X")</f>
        <v>1303</v>
      </c>
      <c r="G5" s="10" t="str">
        <f>IF(COUNTIFS(raw!$D$2:$D$29895,카페동별상세!$C$2&amp;카페동별상세!F5)=1,"가입","")</f>
        <v/>
      </c>
      <c r="H5" s="22">
        <f>IFERROR(INDEX('동호 코드'!$A$3:$E$1472,MATCH(카페동별상세!$C$2&amp;카페동별상세!$H$18&amp;카페동별상세!$A5,'동호 코드'!$E$3:$E$1472, 0),2),"X")</f>
        <v>1304</v>
      </c>
      <c r="I5" s="10" t="str">
        <f>IF(COUNTIFS(raw!$D$2:$D$29895,카페동별상세!$C$2&amp;카페동별상세!H5)=1,"가입","")</f>
        <v/>
      </c>
      <c r="J5" s="22" t="str">
        <f>IFERROR(INDEX('동호 코드'!$A$3:$E$1472,MATCH(카페동별상세!$C$2&amp;카페동별상세!$J$18&amp;카페동별상세!$A5,'동호 코드'!$E$3:$E$1472, 0),2),"X")</f>
        <v>X</v>
      </c>
      <c r="K5" s="7" t="str">
        <f>IF(COUNTIFS(raw!$D$2:$D$29895,카페동별상세!$C$2&amp;카페동별상세!J5)=1,"가입","")</f>
        <v/>
      </c>
    </row>
    <row r="6" spans="1:11" x14ac:dyDescent="0.4">
      <c r="A6" s="32">
        <v>12</v>
      </c>
      <c r="B6" s="22">
        <f>IFERROR(INDEX('동호 코드'!$A$3:$E$1472,MATCH(카페동별상세!$C$2&amp;카페동별상세!$B$18&amp;카페동별상세!$A6,'동호 코드'!$E$3:$E$1472, 0),2),"X")</f>
        <v>1201</v>
      </c>
      <c r="C6" s="10" t="str">
        <f>IF(COUNTIFS(raw!$D$2:$D$29895,카페동별상세!$C$2&amp;카페동별상세!B6)=1,"가입","")</f>
        <v/>
      </c>
      <c r="D6" s="22">
        <f>IFERROR(INDEX('동호 코드'!$A$3:$E$1472,MATCH(카페동별상세!$C$2&amp;카페동별상세!$D$18&amp;카페동별상세!$A6,'동호 코드'!$E$3:$E$1472, 0),2),"X")</f>
        <v>1202</v>
      </c>
      <c r="E6" s="10" t="str">
        <f>IF(COUNTIFS(raw!$D$2:$D$29895,카페동별상세!$C$2&amp;카페동별상세!D6)=1,"가입","")</f>
        <v/>
      </c>
      <c r="F6" s="22">
        <f>IFERROR(INDEX('동호 코드'!$A$3:$E$1472,MATCH(카페동별상세!$C$2&amp;카페동별상세!$F$18&amp;카페동별상세!$A6,'동호 코드'!$E$3:$E$1472, 0),2),"X")</f>
        <v>1203</v>
      </c>
      <c r="G6" s="10" t="str">
        <f>IF(COUNTIFS(raw!$D$2:$D$29895,카페동별상세!$C$2&amp;카페동별상세!F6)=1,"가입","")</f>
        <v/>
      </c>
      <c r="H6" s="22">
        <f>IFERROR(INDEX('동호 코드'!$A$3:$E$1472,MATCH(카페동별상세!$C$2&amp;카페동별상세!$H$18&amp;카페동별상세!$A6,'동호 코드'!$E$3:$E$1472, 0),2),"X")</f>
        <v>1204</v>
      </c>
      <c r="I6" s="10" t="str">
        <f>IF(COUNTIFS(raw!$D$2:$D$29895,카페동별상세!$C$2&amp;카페동별상세!H6)=1,"가입","")</f>
        <v/>
      </c>
      <c r="J6" s="22" t="str">
        <f>IFERROR(INDEX('동호 코드'!$A$3:$E$1472,MATCH(카페동별상세!$C$2&amp;카페동별상세!$J$18&amp;카페동별상세!$A6,'동호 코드'!$E$3:$E$1472, 0),2),"X")</f>
        <v>X</v>
      </c>
      <c r="K6" s="7" t="str">
        <f>IF(COUNTIFS(raw!$D$2:$D$29895,카페동별상세!$C$2&amp;카페동별상세!J6)=1,"가입","")</f>
        <v/>
      </c>
    </row>
    <row r="7" spans="1:11" x14ac:dyDescent="0.4">
      <c r="A7" s="32">
        <v>11</v>
      </c>
      <c r="B7" s="22">
        <f>IFERROR(INDEX('동호 코드'!$A$3:$E$1472,MATCH(카페동별상세!$C$2&amp;카페동별상세!$B$18&amp;카페동별상세!$A7,'동호 코드'!$E$3:$E$1472, 0),2),"X")</f>
        <v>1101</v>
      </c>
      <c r="C7" s="10" t="str">
        <f>IF(COUNTIFS(raw!$D$2:$D$29895,카페동별상세!$C$2&amp;카페동별상세!B7)=1,"가입","")</f>
        <v/>
      </c>
      <c r="D7" s="22">
        <f>IFERROR(INDEX('동호 코드'!$A$3:$E$1472,MATCH(카페동별상세!$C$2&amp;카페동별상세!$D$18&amp;카페동별상세!$A7,'동호 코드'!$E$3:$E$1472, 0),2),"X")</f>
        <v>1102</v>
      </c>
      <c r="E7" s="10" t="str">
        <f>IF(COUNTIFS(raw!$D$2:$D$29895,카페동별상세!$C$2&amp;카페동별상세!D7)=1,"가입","")</f>
        <v/>
      </c>
      <c r="F7" s="22">
        <f>IFERROR(INDEX('동호 코드'!$A$3:$E$1472,MATCH(카페동별상세!$C$2&amp;카페동별상세!$F$18&amp;카페동별상세!$A7,'동호 코드'!$E$3:$E$1472, 0),2),"X")</f>
        <v>1103</v>
      </c>
      <c r="G7" s="10" t="str">
        <f>IF(COUNTIFS(raw!$D$2:$D$29895,카페동별상세!$C$2&amp;카페동별상세!F7)=1,"가입","")</f>
        <v/>
      </c>
      <c r="H7" s="22">
        <f>IFERROR(INDEX('동호 코드'!$A$3:$E$1472,MATCH(카페동별상세!$C$2&amp;카페동별상세!$H$18&amp;카페동별상세!$A7,'동호 코드'!$E$3:$E$1472, 0),2),"X")</f>
        <v>1104</v>
      </c>
      <c r="I7" s="10" t="str">
        <f>IF(COUNTIFS(raw!$D$2:$D$29895,카페동별상세!$C$2&amp;카페동별상세!H7)=1,"가입","")</f>
        <v/>
      </c>
      <c r="J7" s="22" t="str">
        <f>IFERROR(INDEX('동호 코드'!$A$3:$E$1472,MATCH(카페동별상세!$C$2&amp;카페동별상세!$J$18&amp;카페동별상세!$A7,'동호 코드'!$E$3:$E$1472, 0),2),"X")</f>
        <v>X</v>
      </c>
      <c r="K7" s="7" t="str">
        <f>IF(COUNTIFS(raw!$D$2:$D$29895,카페동별상세!$C$2&amp;카페동별상세!J7)=1,"가입","")</f>
        <v/>
      </c>
    </row>
    <row r="8" spans="1:11" x14ac:dyDescent="0.4">
      <c r="A8" s="32">
        <v>10</v>
      </c>
      <c r="B8" s="22">
        <f>IFERROR(INDEX('동호 코드'!$A$3:$E$1472,MATCH(카페동별상세!$C$2&amp;카페동별상세!$B$18&amp;카페동별상세!$A8,'동호 코드'!$E$3:$E$1472, 0),2),"X")</f>
        <v>1001</v>
      </c>
      <c r="C8" s="10" t="str">
        <f>IF(COUNTIFS(raw!$D$2:$D$29895,카페동별상세!$C$2&amp;카페동별상세!B8)=1,"가입","")</f>
        <v/>
      </c>
      <c r="D8" s="22">
        <f>IFERROR(INDEX('동호 코드'!$A$3:$E$1472,MATCH(카페동별상세!$C$2&amp;카페동별상세!$D$18&amp;카페동별상세!$A8,'동호 코드'!$E$3:$E$1472, 0),2),"X")</f>
        <v>1002</v>
      </c>
      <c r="E8" s="10" t="str">
        <f>IF(COUNTIFS(raw!$D$2:$D$29895,카페동별상세!$C$2&amp;카페동별상세!D8)=1,"가입","")</f>
        <v/>
      </c>
      <c r="F8" s="22">
        <f>IFERROR(INDEX('동호 코드'!$A$3:$E$1472,MATCH(카페동별상세!$C$2&amp;카페동별상세!$F$18&amp;카페동별상세!$A8,'동호 코드'!$E$3:$E$1472, 0),2),"X")</f>
        <v>1003</v>
      </c>
      <c r="G8" s="10" t="str">
        <f>IF(COUNTIFS(raw!$D$2:$D$29895,카페동별상세!$C$2&amp;카페동별상세!F8)=1,"가입","")</f>
        <v/>
      </c>
      <c r="H8" s="22">
        <f>IFERROR(INDEX('동호 코드'!$A$3:$E$1472,MATCH(카페동별상세!$C$2&amp;카페동별상세!$H$18&amp;카페동별상세!$A8,'동호 코드'!$E$3:$E$1472, 0),2),"X")</f>
        <v>1004</v>
      </c>
      <c r="I8" s="10" t="str">
        <f>IF(COUNTIFS(raw!$D$2:$D$29895,카페동별상세!$C$2&amp;카페동별상세!H8)=1,"가입","")</f>
        <v/>
      </c>
      <c r="J8" s="22" t="str">
        <f>IFERROR(INDEX('동호 코드'!$A$3:$E$1472,MATCH(카페동별상세!$C$2&amp;카페동별상세!$J$18&amp;카페동별상세!$A8,'동호 코드'!$E$3:$E$1472, 0),2),"X")</f>
        <v>X</v>
      </c>
      <c r="K8" s="7" t="str">
        <f>IF(COUNTIFS(raw!$D$2:$D$29895,카페동별상세!$C$2&amp;카페동별상세!J8)=1,"가입","")</f>
        <v/>
      </c>
    </row>
    <row r="9" spans="1:11" x14ac:dyDescent="0.4">
      <c r="A9" s="32">
        <v>9</v>
      </c>
      <c r="B9" s="22">
        <f>IFERROR(INDEX('동호 코드'!$A$3:$E$1472,MATCH(카페동별상세!$C$2&amp;카페동별상세!$B$18&amp;카페동별상세!$A9,'동호 코드'!$E$3:$E$1472, 0),2),"X")</f>
        <v>901</v>
      </c>
      <c r="C9" s="10" t="str">
        <f>IF(COUNTIFS(raw!$D$2:$D$29895,카페동별상세!$C$2&amp;카페동별상세!B9)=1,"가입","")</f>
        <v/>
      </c>
      <c r="D9" s="22">
        <f>IFERROR(INDEX('동호 코드'!$A$3:$E$1472,MATCH(카페동별상세!$C$2&amp;카페동별상세!$D$18&amp;카페동별상세!$A9,'동호 코드'!$E$3:$E$1472, 0),2),"X")</f>
        <v>902</v>
      </c>
      <c r="E9" s="10" t="str">
        <f>IF(COUNTIFS(raw!$D$2:$D$29895,카페동별상세!$C$2&amp;카페동별상세!D9)=1,"가입","")</f>
        <v/>
      </c>
      <c r="F9" s="22">
        <f>IFERROR(INDEX('동호 코드'!$A$3:$E$1472,MATCH(카페동별상세!$C$2&amp;카페동별상세!$F$18&amp;카페동별상세!$A9,'동호 코드'!$E$3:$E$1472, 0),2),"X")</f>
        <v>903</v>
      </c>
      <c r="G9" s="10" t="str">
        <f>IF(COUNTIFS(raw!$D$2:$D$29895,카페동별상세!$C$2&amp;카페동별상세!F9)=1,"가입","")</f>
        <v/>
      </c>
      <c r="H9" s="22">
        <f>IFERROR(INDEX('동호 코드'!$A$3:$E$1472,MATCH(카페동별상세!$C$2&amp;카페동별상세!$H$18&amp;카페동별상세!$A9,'동호 코드'!$E$3:$E$1472, 0),2),"X")</f>
        <v>904</v>
      </c>
      <c r="I9" s="10" t="str">
        <f>IF(COUNTIFS(raw!$D$2:$D$29895,카페동별상세!$C$2&amp;카페동별상세!H9)=1,"가입","")</f>
        <v>가입</v>
      </c>
      <c r="J9" s="22" t="str">
        <f>IFERROR(INDEX('동호 코드'!$A$3:$E$1472,MATCH(카페동별상세!$C$2&amp;카페동별상세!$J$18&amp;카페동별상세!$A9,'동호 코드'!$E$3:$E$1472, 0),2),"X")</f>
        <v>X</v>
      </c>
      <c r="K9" s="7" t="str">
        <f>IF(COUNTIFS(raw!$D$2:$D$29895,카페동별상세!$C$2&amp;카페동별상세!J9)=1,"가입","")</f>
        <v/>
      </c>
    </row>
    <row r="10" spans="1:11" x14ac:dyDescent="0.4">
      <c r="A10" s="32">
        <v>8</v>
      </c>
      <c r="B10" s="22">
        <f>IFERROR(INDEX('동호 코드'!$A$3:$E$1472,MATCH(카페동별상세!$C$2&amp;카페동별상세!$B$18&amp;카페동별상세!$A10,'동호 코드'!$E$3:$E$1472, 0),2),"X")</f>
        <v>801</v>
      </c>
      <c r="C10" s="10" t="str">
        <f>IF(COUNTIFS(raw!$D$2:$D$29895,카페동별상세!$C$2&amp;카페동별상세!B10)=1,"가입","")</f>
        <v/>
      </c>
      <c r="D10" s="22">
        <f>IFERROR(INDEX('동호 코드'!$A$3:$E$1472,MATCH(카페동별상세!$C$2&amp;카페동별상세!$D$18&amp;카페동별상세!$A10,'동호 코드'!$E$3:$E$1472, 0),2),"X")</f>
        <v>802</v>
      </c>
      <c r="E10" s="10" t="str">
        <f>IF(COUNTIFS(raw!$D$2:$D$29895,카페동별상세!$C$2&amp;카페동별상세!D10)=1,"가입","")</f>
        <v/>
      </c>
      <c r="F10" s="22">
        <f>IFERROR(INDEX('동호 코드'!$A$3:$E$1472,MATCH(카페동별상세!$C$2&amp;카페동별상세!$F$18&amp;카페동별상세!$A10,'동호 코드'!$E$3:$E$1472, 0),2),"X")</f>
        <v>803</v>
      </c>
      <c r="G10" s="10" t="str">
        <f>IF(COUNTIFS(raw!$D$2:$D$29895,카페동별상세!$C$2&amp;카페동별상세!F10)=1,"가입","")</f>
        <v/>
      </c>
      <c r="H10" s="22">
        <f>IFERROR(INDEX('동호 코드'!$A$3:$E$1472,MATCH(카페동별상세!$C$2&amp;카페동별상세!$H$18&amp;카페동별상세!$A10,'동호 코드'!$E$3:$E$1472, 0),2),"X")</f>
        <v>804</v>
      </c>
      <c r="I10" s="10" t="str">
        <f>IF(COUNTIFS(raw!$D$2:$D$29895,카페동별상세!$C$2&amp;카페동별상세!H10)=1,"가입","")</f>
        <v/>
      </c>
      <c r="J10" s="22" t="str">
        <f>IFERROR(INDEX('동호 코드'!$A$3:$E$1472,MATCH(카페동별상세!$C$2&amp;카페동별상세!$J$18&amp;카페동별상세!$A10,'동호 코드'!$E$3:$E$1472, 0),2),"X")</f>
        <v>X</v>
      </c>
      <c r="K10" s="7" t="str">
        <f>IF(COUNTIFS(raw!$D$2:$D$29895,카페동별상세!$C$2&amp;카페동별상세!J10)=1,"가입","")</f>
        <v/>
      </c>
    </row>
    <row r="11" spans="1:11" x14ac:dyDescent="0.4">
      <c r="A11" s="32">
        <v>7</v>
      </c>
      <c r="B11" s="22">
        <f>IFERROR(INDEX('동호 코드'!$A$3:$E$1472,MATCH(카페동별상세!$C$2&amp;카페동별상세!$B$18&amp;카페동별상세!$A11,'동호 코드'!$E$3:$E$1472, 0),2),"X")</f>
        <v>701</v>
      </c>
      <c r="C11" s="10" t="str">
        <f>IF(COUNTIFS(raw!$D$2:$D$29895,카페동별상세!$C$2&amp;카페동별상세!B11)=1,"가입","")</f>
        <v/>
      </c>
      <c r="D11" s="22">
        <f>IFERROR(INDEX('동호 코드'!$A$3:$E$1472,MATCH(카페동별상세!$C$2&amp;카페동별상세!$D$18&amp;카페동별상세!$A11,'동호 코드'!$E$3:$E$1472, 0),2),"X")</f>
        <v>702</v>
      </c>
      <c r="E11" s="10" t="str">
        <f>IF(COUNTIFS(raw!$D$2:$D$29895,카페동별상세!$C$2&amp;카페동별상세!D11)=1,"가입","")</f>
        <v/>
      </c>
      <c r="F11" s="22">
        <f>IFERROR(INDEX('동호 코드'!$A$3:$E$1472,MATCH(카페동별상세!$C$2&amp;카페동별상세!$F$18&amp;카페동별상세!$A11,'동호 코드'!$E$3:$E$1472, 0),2),"X")</f>
        <v>703</v>
      </c>
      <c r="G11" s="10" t="str">
        <f>IF(COUNTIFS(raw!$D$2:$D$29895,카페동별상세!$C$2&amp;카페동별상세!F11)=1,"가입","")</f>
        <v/>
      </c>
      <c r="H11" s="22">
        <f>IFERROR(INDEX('동호 코드'!$A$3:$E$1472,MATCH(카페동별상세!$C$2&amp;카페동별상세!$H$18&amp;카페동별상세!$A11,'동호 코드'!$E$3:$E$1472, 0),2),"X")</f>
        <v>704</v>
      </c>
      <c r="I11" s="10" t="str">
        <f>IF(COUNTIFS(raw!$D$2:$D$29895,카페동별상세!$C$2&amp;카페동별상세!H11)=1,"가입","")</f>
        <v/>
      </c>
      <c r="J11" s="22" t="str">
        <f>IFERROR(INDEX('동호 코드'!$A$3:$E$1472,MATCH(카페동별상세!$C$2&amp;카페동별상세!$J$18&amp;카페동별상세!$A11,'동호 코드'!$E$3:$E$1472, 0),2),"X")</f>
        <v>X</v>
      </c>
      <c r="K11" s="7" t="str">
        <f>IF(COUNTIFS(raw!$D$2:$D$29895,카페동별상세!$C$2&amp;카페동별상세!J11)=1,"가입","")</f>
        <v/>
      </c>
    </row>
    <row r="12" spans="1:11" x14ac:dyDescent="0.4">
      <c r="A12" s="32">
        <v>6</v>
      </c>
      <c r="B12" s="22">
        <f>IFERROR(INDEX('동호 코드'!$A$3:$E$1472,MATCH(카페동별상세!$C$2&amp;카페동별상세!$B$18&amp;카페동별상세!$A12,'동호 코드'!$E$3:$E$1472, 0),2),"X")</f>
        <v>601</v>
      </c>
      <c r="C12" s="10" t="str">
        <f>IF(COUNTIFS(raw!$D$2:$D$29895,카페동별상세!$C$2&amp;카페동별상세!B12)=1,"가입","")</f>
        <v/>
      </c>
      <c r="D12" s="22">
        <f>IFERROR(INDEX('동호 코드'!$A$3:$E$1472,MATCH(카페동별상세!$C$2&amp;카페동별상세!$D$18&amp;카페동별상세!$A12,'동호 코드'!$E$3:$E$1472, 0),2),"X")</f>
        <v>602</v>
      </c>
      <c r="E12" s="10" t="str">
        <f>IF(COUNTIFS(raw!$D$2:$D$29895,카페동별상세!$C$2&amp;카페동별상세!D12)=1,"가입","")</f>
        <v/>
      </c>
      <c r="F12" s="22">
        <f>IFERROR(INDEX('동호 코드'!$A$3:$E$1472,MATCH(카페동별상세!$C$2&amp;카페동별상세!$F$18&amp;카페동별상세!$A12,'동호 코드'!$E$3:$E$1472, 0),2),"X")</f>
        <v>603</v>
      </c>
      <c r="G12" s="10" t="str">
        <f>IF(COUNTIFS(raw!$D$2:$D$29895,카페동별상세!$C$2&amp;카페동별상세!F12)=1,"가입","")</f>
        <v/>
      </c>
      <c r="H12" s="22">
        <f>IFERROR(INDEX('동호 코드'!$A$3:$E$1472,MATCH(카페동별상세!$C$2&amp;카페동별상세!$H$18&amp;카페동별상세!$A12,'동호 코드'!$E$3:$E$1472, 0),2),"X")</f>
        <v>604</v>
      </c>
      <c r="I12" s="10" t="str">
        <f>IF(COUNTIFS(raw!$D$2:$D$29895,카페동별상세!$C$2&amp;카페동별상세!H12)=1,"가입","")</f>
        <v>가입</v>
      </c>
      <c r="J12" s="22" t="str">
        <f>IFERROR(INDEX('동호 코드'!$A$3:$E$1472,MATCH(카페동별상세!$C$2&amp;카페동별상세!$J$18&amp;카페동별상세!$A12,'동호 코드'!$E$3:$E$1472, 0),2),"X")</f>
        <v>X</v>
      </c>
      <c r="K12" s="7" t="str">
        <f>IF(COUNTIFS(raw!$D$2:$D$29895,카페동별상세!$C$2&amp;카페동별상세!J12)=1,"가입","")</f>
        <v/>
      </c>
    </row>
    <row r="13" spans="1:11" x14ac:dyDescent="0.4">
      <c r="A13" s="32">
        <v>5</v>
      </c>
      <c r="B13" s="22">
        <f>IFERROR(INDEX('동호 코드'!$A$3:$E$1472,MATCH(카페동별상세!$C$2&amp;카페동별상세!$B$18&amp;카페동별상세!$A13,'동호 코드'!$E$3:$E$1472, 0),2),"X")</f>
        <v>501</v>
      </c>
      <c r="C13" s="10" t="str">
        <f>IF(COUNTIFS(raw!$D$2:$D$29895,카페동별상세!$C$2&amp;카페동별상세!B13)=1,"가입","")</f>
        <v/>
      </c>
      <c r="D13" s="22">
        <f>IFERROR(INDEX('동호 코드'!$A$3:$E$1472,MATCH(카페동별상세!$C$2&amp;카페동별상세!$D$18&amp;카페동별상세!$A13,'동호 코드'!$E$3:$E$1472, 0),2),"X")</f>
        <v>502</v>
      </c>
      <c r="E13" s="10" t="str">
        <f>IF(COUNTIFS(raw!$D$2:$D$29895,카페동별상세!$C$2&amp;카페동별상세!D13)=1,"가입","")</f>
        <v>가입</v>
      </c>
      <c r="F13" s="22">
        <f>IFERROR(INDEX('동호 코드'!$A$3:$E$1472,MATCH(카페동별상세!$C$2&amp;카페동별상세!$F$18&amp;카페동별상세!$A13,'동호 코드'!$E$3:$E$1472, 0),2),"X")</f>
        <v>503</v>
      </c>
      <c r="G13" s="10" t="str">
        <f>IF(COUNTIFS(raw!$D$2:$D$29895,카페동별상세!$C$2&amp;카페동별상세!F13)=1,"가입","")</f>
        <v/>
      </c>
      <c r="H13" s="22">
        <f>IFERROR(INDEX('동호 코드'!$A$3:$E$1472,MATCH(카페동별상세!$C$2&amp;카페동별상세!$H$18&amp;카페동별상세!$A13,'동호 코드'!$E$3:$E$1472, 0),2),"X")</f>
        <v>504</v>
      </c>
      <c r="I13" s="10" t="str">
        <f>IF(COUNTIFS(raw!$D$2:$D$29895,카페동별상세!$C$2&amp;카페동별상세!H13)=1,"가입","")</f>
        <v>가입</v>
      </c>
      <c r="J13" s="22" t="str">
        <f>IFERROR(INDEX('동호 코드'!$A$3:$E$1472,MATCH(카페동별상세!$C$2&amp;카페동별상세!$J$18&amp;카페동별상세!$A13,'동호 코드'!$E$3:$E$1472, 0),2),"X")</f>
        <v>X</v>
      </c>
      <c r="K13" s="7" t="str">
        <f>IF(COUNTIFS(raw!$D$2:$D$29895,카페동별상세!$C$2&amp;카페동별상세!J13)=1,"가입","")</f>
        <v/>
      </c>
    </row>
    <row r="14" spans="1:11" x14ac:dyDescent="0.4">
      <c r="A14" s="32">
        <v>4</v>
      </c>
      <c r="B14" s="22">
        <f>IFERROR(INDEX('동호 코드'!$A$3:$E$1472,MATCH(카페동별상세!$C$2&amp;카페동별상세!$B$18&amp;카페동별상세!$A14,'동호 코드'!$E$3:$E$1472, 0),2),"X")</f>
        <v>401</v>
      </c>
      <c r="C14" s="10" t="str">
        <f>IF(COUNTIFS(raw!$D$2:$D$29895,카페동별상세!$C$2&amp;카페동별상세!B14)=1,"가입","")</f>
        <v/>
      </c>
      <c r="D14" s="22">
        <f>IFERROR(INDEX('동호 코드'!$A$3:$E$1472,MATCH(카페동별상세!$C$2&amp;카페동별상세!$D$18&amp;카페동별상세!$A14,'동호 코드'!$E$3:$E$1472, 0),2),"X")</f>
        <v>402</v>
      </c>
      <c r="E14" s="10" t="str">
        <f>IF(COUNTIFS(raw!$D$2:$D$29895,카페동별상세!$C$2&amp;카페동별상세!D14)=1,"가입","")</f>
        <v/>
      </c>
      <c r="F14" s="22">
        <f>IFERROR(INDEX('동호 코드'!$A$3:$E$1472,MATCH(카페동별상세!$C$2&amp;카페동별상세!$F$18&amp;카페동별상세!$A14,'동호 코드'!$E$3:$E$1472, 0),2),"X")</f>
        <v>403</v>
      </c>
      <c r="G14" s="10" t="str">
        <f>IF(COUNTIFS(raw!$D$2:$D$29895,카페동별상세!$C$2&amp;카페동별상세!F14)=1,"가입","")</f>
        <v/>
      </c>
      <c r="H14" s="22">
        <f>IFERROR(INDEX('동호 코드'!$A$3:$E$1472,MATCH(카페동별상세!$C$2&amp;카페동별상세!$H$18&amp;카페동별상세!$A14,'동호 코드'!$E$3:$E$1472, 0),2),"X")</f>
        <v>404</v>
      </c>
      <c r="I14" s="10" t="str">
        <f>IF(COUNTIFS(raw!$D$2:$D$29895,카페동별상세!$C$2&amp;카페동별상세!H14)=1,"가입","")</f>
        <v/>
      </c>
      <c r="J14" s="22" t="str">
        <f>IFERROR(INDEX('동호 코드'!$A$3:$E$1472,MATCH(카페동별상세!$C$2&amp;카페동별상세!$J$18&amp;카페동별상세!$A14,'동호 코드'!$E$3:$E$1472, 0),2),"X")</f>
        <v>X</v>
      </c>
      <c r="K14" s="7" t="str">
        <f>IF(COUNTIFS(raw!$D$2:$D$29895,카페동별상세!$C$2&amp;카페동별상세!J14)=1,"가입","")</f>
        <v/>
      </c>
    </row>
    <row r="15" spans="1:11" x14ac:dyDescent="0.4">
      <c r="A15" s="32">
        <v>3</v>
      </c>
      <c r="B15" s="22">
        <f>IFERROR(INDEX('동호 코드'!$A$3:$E$1472,MATCH(카페동별상세!$C$2&amp;카페동별상세!$B$18&amp;카페동별상세!$A15,'동호 코드'!$E$3:$E$1472, 0),2),"X")</f>
        <v>301</v>
      </c>
      <c r="C15" s="10" t="str">
        <f>IF(COUNTIFS(raw!$D$2:$D$29895,카페동별상세!$C$2&amp;카페동별상세!B15)=1,"가입","")</f>
        <v/>
      </c>
      <c r="D15" s="22">
        <f>IFERROR(INDEX('동호 코드'!$A$3:$E$1472,MATCH(카페동별상세!$C$2&amp;카페동별상세!$D$18&amp;카페동별상세!$A15,'동호 코드'!$E$3:$E$1472, 0),2),"X")</f>
        <v>302</v>
      </c>
      <c r="E15" s="10" t="str">
        <f>IF(COUNTIFS(raw!$D$2:$D$29895,카페동별상세!$C$2&amp;카페동별상세!D15)=1,"가입","")</f>
        <v/>
      </c>
      <c r="F15" s="22">
        <f>IFERROR(INDEX('동호 코드'!$A$3:$E$1472,MATCH(카페동별상세!$C$2&amp;카페동별상세!$F$18&amp;카페동별상세!$A15,'동호 코드'!$E$3:$E$1472, 0),2),"X")</f>
        <v>303</v>
      </c>
      <c r="G15" s="10" t="str">
        <f>IF(COUNTIFS(raw!$D$2:$D$29895,카페동별상세!$C$2&amp;카페동별상세!F15)=1,"가입","")</f>
        <v/>
      </c>
      <c r="H15" s="22">
        <f>IFERROR(INDEX('동호 코드'!$A$3:$E$1472,MATCH(카페동별상세!$C$2&amp;카페동별상세!$H$18&amp;카페동별상세!$A15,'동호 코드'!$E$3:$E$1472, 0),2),"X")</f>
        <v>304</v>
      </c>
      <c r="I15" s="10" t="str">
        <f>IF(COUNTIFS(raw!$D$2:$D$29895,카페동별상세!$C$2&amp;카페동별상세!H15)=1,"가입","")</f>
        <v/>
      </c>
      <c r="J15" s="22" t="str">
        <f>IFERROR(INDEX('동호 코드'!$A$3:$E$1472,MATCH(카페동별상세!$C$2&amp;카페동별상세!$J$18&amp;카페동별상세!$A15,'동호 코드'!$E$3:$E$1472, 0),2),"X")</f>
        <v>X</v>
      </c>
      <c r="K15" s="7" t="str">
        <f>IF(COUNTIFS(raw!$D$2:$D$29895,카페동별상세!$C$2&amp;카페동별상세!J15)=1,"가입","")</f>
        <v/>
      </c>
    </row>
    <row r="16" spans="1:11" x14ac:dyDescent="0.4">
      <c r="A16" s="32">
        <v>2</v>
      </c>
      <c r="B16" s="22">
        <f>IFERROR(INDEX('동호 코드'!$A$3:$E$1472,MATCH(카페동별상세!$C$2&amp;카페동별상세!$B$18&amp;카페동별상세!$A16,'동호 코드'!$E$3:$E$1472, 0),2),"X")</f>
        <v>201</v>
      </c>
      <c r="C16" s="10" t="str">
        <f>IF(COUNTIFS(raw!$D$2:$D$29895,카페동별상세!$C$2&amp;카페동별상세!B16)=1,"가입","")</f>
        <v/>
      </c>
      <c r="D16" s="22">
        <f>IFERROR(INDEX('동호 코드'!$A$3:$E$1472,MATCH(카페동별상세!$C$2&amp;카페동별상세!$D$18&amp;카페동별상세!$A16,'동호 코드'!$E$3:$E$1472, 0),2),"X")</f>
        <v>202</v>
      </c>
      <c r="E16" s="10" t="str">
        <f>IF(COUNTIFS(raw!$D$2:$D$29895,카페동별상세!$C$2&amp;카페동별상세!D16)=1,"가입","")</f>
        <v/>
      </c>
      <c r="F16" s="22">
        <f>IFERROR(INDEX('동호 코드'!$A$3:$E$1472,MATCH(카페동별상세!$C$2&amp;카페동별상세!$F$18&amp;카페동별상세!$A16,'동호 코드'!$E$3:$E$1472, 0),2),"X")</f>
        <v>203</v>
      </c>
      <c r="G16" s="10" t="str">
        <f>IF(COUNTIFS(raw!$D$2:$D$29895,카페동별상세!$C$2&amp;카페동별상세!F16)=1,"가입","")</f>
        <v>가입</v>
      </c>
      <c r="H16" s="22">
        <f>IFERROR(INDEX('동호 코드'!$A$3:$E$1472,MATCH(카페동별상세!$C$2&amp;카페동별상세!$H$18&amp;카페동별상세!$A16,'동호 코드'!$E$3:$E$1472, 0),2),"X")</f>
        <v>204</v>
      </c>
      <c r="I16" s="10" t="str">
        <f>IF(COUNTIFS(raw!$D$2:$D$29895,카페동별상세!$C$2&amp;카페동별상세!H16)=1,"가입","")</f>
        <v/>
      </c>
      <c r="J16" s="22" t="str">
        <f>IFERROR(INDEX('동호 코드'!$A$3:$E$1472,MATCH(카페동별상세!$C$2&amp;카페동별상세!$J$18&amp;카페동별상세!$A16,'동호 코드'!$E$3:$E$1472, 0),2),"X")</f>
        <v>X</v>
      </c>
      <c r="K16" s="7" t="str">
        <f>IF(COUNTIFS(raw!$D$2:$D$29895,카페동별상세!$C$2&amp;카페동별상세!J16)=1,"가입","")</f>
        <v/>
      </c>
    </row>
    <row r="17" spans="1:11" ht="18" thickBot="1" x14ac:dyDescent="0.45">
      <c r="A17" s="32">
        <v>1</v>
      </c>
      <c r="B17" s="22">
        <f>IFERROR(INDEX('동호 코드'!$A$3:$E$1472,MATCH(카페동별상세!$C$2&amp;카페동별상세!$B$18&amp;카페동별상세!$A17,'동호 코드'!$E$3:$E$1472, 0),2),"X")</f>
        <v>101</v>
      </c>
      <c r="C17" s="23" t="str">
        <f>IF(COUNTIFS(raw!$D$2:$D$29895,카페동별상세!$C$2&amp;카페동별상세!B17)=1,"가입","")</f>
        <v/>
      </c>
      <c r="D17" s="22">
        <f>IFERROR(INDEX('동호 코드'!$A$3:$E$1472,MATCH(카페동별상세!$C$2&amp;카페동별상세!$D$18&amp;카페동별상세!$A17,'동호 코드'!$E$3:$E$1472, 0),2),"X")</f>
        <v>102</v>
      </c>
      <c r="E17" s="23" t="str">
        <f>IF(COUNTIFS(raw!$D$2:$D$29895,카페동별상세!$C$2&amp;카페동별상세!D17)=1,"가입","")</f>
        <v>가입</v>
      </c>
      <c r="F17" s="22">
        <f>IFERROR(INDEX('동호 코드'!$A$3:$E$1472,MATCH(카페동별상세!$C$2&amp;카페동별상세!$F$18&amp;카페동별상세!$A17,'동호 코드'!$E$3:$E$1472, 0),2),"X")</f>
        <v>103</v>
      </c>
      <c r="G17" s="23" t="str">
        <f>IF(COUNTIFS(raw!$D$2:$D$29895,카페동별상세!$C$2&amp;카페동별상세!F17)=1,"가입","")</f>
        <v/>
      </c>
      <c r="H17" s="22">
        <f>IFERROR(INDEX('동호 코드'!$A$3:$E$1472,MATCH(카페동별상세!$C$2&amp;카페동별상세!$H$18&amp;카페동별상세!$A17,'동호 코드'!$E$3:$E$1472, 0),2),"X")</f>
        <v>104</v>
      </c>
      <c r="I17" s="23" t="str">
        <f>IF(COUNTIFS(raw!$D$2:$D$29895,카페동별상세!$C$2&amp;카페동별상세!H17)=1,"가입","")</f>
        <v/>
      </c>
      <c r="J17" s="22" t="str">
        <f>IFERROR(INDEX('동호 코드'!$A$3:$E$1472,MATCH(카페동별상세!$C$2&amp;카페동별상세!$J$18&amp;카페동별상세!$A17,'동호 코드'!$E$3:$E$1472, 0),2),"X")</f>
        <v>X</v>
      </c>
      <c r="K17" s="7" t="str">
        <f>IF(COUNTIFS(raw!$D$2:$D$29895,카페동별상세!$C$2&amp;카페동별상세!J17)=1,"가입","")</f>
        <v/>
      </c>
    </row>
    <row r="18" spans="1:11" ht="18" thickBot="1" x14ac:dyDescent="0.45">
      <c r="A18" s="32"/>
      <c r="B18" s="43" t="s">
        <v>5</v>
      </c>
      <c r="C18" s="44"/>
      <c r="D18" s="44" t="s">
        <v>6</v>
      </c>
      <c r="E18" s="44"/>
      <c r="F18" s="44" t="s">
        <v>7</v>
      </c>
      <c r="G18" s="44"/>
      <c r="H18" s="44" t="s">
        <v>8</v>
      </c>
      <c r="I18" s="44"/>
      <c r="J18" s="29" t="s">
        <v>9</v>
      </c>
      <c r="K18" s="6"/>
    </row>
    <row r="19" spans="1:11" x14ac:dyDescent="0.4">
      <c r="B19" s="33" t="str">
        <f>VLOOKUP($C$2,'동호 코드'!$J$3:$O$29,2)</f>
        <v>84A</v>
      </c>
      <c r="C19" s="33" t="str">
        <f>VLOOKUP($C$2,'동호 코드'!$J$3:$O$29,2)</f>
        <v>84A</v>
      </c>
      <c r="D19" s="33" t="str">
        <f>VLOOKUP($C$2,'동호 코드'!$J$3:$O$29,3)</f>
        <v>84A</v>
      </c>
      <c r="E19" s="33" t="str">
        <f>VLOOKUP($C$2,'동호 코드'!$J$3:$O$29,2)</f>
        <v>84A</v>
      </c>
      <c r="F19" s="33" t="str">
        <f>VLOOKUP($C$2,'동호 코드'!$J$3:$O$29,4)</f>
        <v>84B</v>
      </c>
      <c r="G19" s="33" t="str">
        <f>VLOOKUP($C$2,'동호 코드'!$J$3:$O$29,2)</f>
        <v>84A</v>
      </c>
      <c r="H19" s="33" t="str">
        <f>VLOOKUP($C$2,'동호 코드'!$J$3:$O$29,5)</f>
        <v>84B</v>
      </c>
      <c r="I19" s="33" t="str">
        <f>VLOOKUP($C$2,'동호 코드'!$J$3:$O$29,2)</f>
        <v>84A</v>
      </c>
      <c r="J19" s="33">
        <f>VLOOKUP($C$2,'동호 코드'!$J$3:$O$29,6)</f>
        <v>0</v>
      </c>
    </row>
  </sheetData>
  <mergeCells count="5">
    <mergeCell ref="C2:D2"/>
    <mergeCell ref="B18:C18"/>
    <mergeCell ref="D18:E18"/>
    <mergeCell ref="F18:G18"/>
    <mergeCell ref="H18:I18"/>
  </mergeCells>
  <phoneticPr fontId="2" type="noConversion"/>
  <conditionalFormatting sqref="B4:C17">
    <cfRule type="expression" dxfId="48" priority="10">
      <formula>$C4="가입"</formula>
    </cfRule>
  </conditionalFormatting>
  <conditionalFormatting sqref="B4:J18">
    <cfRule type="cellIs" dxfId="47" priority="2" operator="equal">
      <formula>"X"</formula>
    </cfRule>
  </conditionalFormatting>
  <conditionalFormatting sqref="B19:J19">
    <cfRule type="containsText" dxfId="46" priority="1" operator="containsText" text="A">
      <formula>NOT(ISERROR(SEARCH("A",B19)))</formula>
    </cfRule>
  </conditionalFormatting>
  <conditionalFormatting sqref="D4:E17">
    <cfRule type="expression" dxfId="45" priority="9">
      <formula>$E4="가입"</formula>
    </cfRule>
  </conditionalFormatting>
  <conditionalFormatting sqref="F4:G17">
    <cfRule type="expression" dxfId="44" priority="4">
      <formula>$G4="가입"</formula>
    </cfRule>
  </conditionalFormatting>
  <conditionalFormatting sqref="H4:I17">
    <cfRule type="expression" dxfId="43" priority="5">
      <formula>$I4="가입"</formula>
    </cfRule>
  </conditionalFormatting>
  <conditionalFormatting sqref="J4:K18">
    <cfRule type="expression" dxfId="42" priority="3">
      <formula>$K4="가입"</formula>
    </cfRule>
  </conditionalFormatting>
  <dataValidations count="1">
    <dataValidation type="list" allowBlank="1" showInputMessage="1" showErrorMessage="1" sqref="E2 C2" xr:uid="{00000000-0002-0000-0200-000000000000}">
      <formula1>"201,202,203,204,205,206,207,208,209,210,211,212,213,214,215,216,217,218,219,220,221,222,223,224,225,226,227"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D19:H1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1"/>
  <sheetViews>
    <sheetView workbookViewId="0">
      <selection activeCell="D265" sqref="D265:D311"/>
    </sheetView>
  </sheetViews>
  <sheetFormatPr defaultColWidth="9" defaultRowHeight="17.399999999999999" x14ac:dyDescent="0.4"/>
  <cols>
    <col min="1" max="1" width="9" style="27"/>
    <col min="2" max="4" width="13.19921875" style="27" customWidth="1"/>
    <col min="5" max="16384" width="9" style="28"/>
  </cols>
  <sheetData>
    <row r="1" spans="2:4" x14ac:dyDescent="0.4">
      <c r="B1" s="27" t="s">
        <v>0</v>
      </c>
      <c r="C1" s="27" t="s">
        <v>1</v>
      </c>
    </row>
    <row r="2" spans="2:4" x14ac:dyDescent="0.4">
      <c r="B2" s="27" t="s">
        <v>26</v>
      </c>
      <c r="C2" s="27" t="s">
        <v>27</v>
      </c>
      <c r="D2" s="27" t="str">
        <f>B2&amp;C2</f>
        <v>2121101</v>
      </c>
    </row>
    <row r="3" spans="2:4" x14ac:dyDescent="0.4">
      <c r="B3" s="27" t="s">
        <v>28</v>
      </c>
      <c r="C3" s="27" t="s">
        <v>29</v>
      </c>
      <c r="D3" s="27" t="str">
        <f t="shared" ref="D3:D66" si="0">B3&amp;C3</f>
        <v>2101201</v>
      </c>
    </row>
    <row r="4" spans="2:4" x14ac:dyDescent="0.4">
      <c r="B4" s="27" t="s">
        <v>30</v>
      </c>
      <c r="C4" s="27" t="s">
        <v>31</v>
      </c>
      <c r="D4" s="27" t="str">
        <f t="shared" si="0"/>
        <v>208503</v>
      </c>
    </row>
    <row r="5" spans="2:4" x14ac:dyDescent="0.4">
      <c r="B5" s="27" t="s">
        <v>32</v>
      </c>
      <c r="C5" s="27" t="s">
        <v>33</v>
      </c>
      <c r="D5" s="27" t="str">
        <f t="shared" si="0"/>
        <v>2241403</v>
      </c>
    </row>
    <row r="6" spans="2:4" x14ac:dyDescent="0.4">
      <c r="B6" s="27" t="s">
        <v>34</v>
      </c>
      <c r="C6" s="27" t="s">
        <v>35</v>
      </c>
      <c r="D6" s="27" t="str">
        <f t="shared" si="0"/>
        <v>2031104</v>
      </c>
    </row>
    <row r="7" spans="2:4" x14ac:dyDescent="0.4">
      <c r="B7" s="27" t="s">
        <v>36</v>
      </c>
      <c r="C7" s="27" t="s">
        <v>37</v>
      </c>
      <c r="D7" s="27" t="str">
        <f t="shared" si="0"/>
        <v>2221404</v>
      </c>
    </row>
    <row r="8" spans="2:4" x14ac:dyDescent="0.4">
      <c r="B8" s="27" t="s">
        <v>38</v>
      </c>
      <c r="C8" s="27" t="s">
        <v>39</v>
      </c>
      <c r="D8" s="27" t="str">
        <f t="shared" si="0"/>
        <v>213501</v>
      </c>
    </row>
    <row r="9" spans="2:4" x14ac:dyDescent="0.4">
      <c r="B9" s="27" t="s">
        <v>40</v>
      </c>
      <c r="C9" s="27" t="s">
        <v>41</v>
      </c>
      <c r="D9" s="27" t="str">
        <f t="shared" si="0"/>
        <v>2071401</v>
      </c>
    </row>
    <row r="10" spans="2:4" x14ac:dyDescent="0.4">
      <c r="B10" s="27" t="s">
        <v>38</v>
      </c>
      <c r="C10" s="27" t="s">
        <v>42</v>
      </c>
      <c r="D10" s="27" t="str">
        <f t="shared" si="0"/>
        <v>2131305</v>
      </c>
    </row>
    <row r="11" spans="2:4" x14ac:dyDescent="0.4">
      <c r="B11" s="27" t="s">
        <v>38</v>
      </c>
      <c r="C11" s="27" t="s">
        <v>43</v>
      </c>
      <c r="D11" s="27" t="str">
        <f t="shared" si="0"/>
        <v>213504</v>
      </c>
    </row>
    <row r="12" spans="2:4" x14ac:dyDescent="0.4">
      <c r="B12" s="27" t="s">
        <v>44</v>
      </c>
      <c r="C12" s="27" t="s">
        <v>45</v>
      </c>
      <c r="D12" s="27" t="str">
        <f t="shared" si="0"/>
        <v>2151304</v>
      </c>
    </row>
    <row r="13" spans="2:4" x14ac:dyDescent="0.4">
      <c r="B13" s="27" t="s">
        <v>34</v>
      </c>
      <c r="C13" s="27" t="s">
        <v>33</v>
      </c>
      <c r="D13" s="27" t="str">
        <f t="shared" si="0"/>
        <v>2031403</v>
      </c>
    </row>
    <row r="14" spans="2:4" x14ac:dyDescent="0.4">
      <c r="B14" s="27" t="s">
        <v>32</v>
      </c>
      <c r="C14" s="27" t="s">
        <v>45</v>
      </c>
      <c r="D14" s="27" t="str">
        <f t="shared" si="0"/>
        <v>2241304</v>
      </c>
    </row>
    <row r="15" spans="2:4" x14ac:dyDescent="0.4">
      <c r="B15" s="27" t="s">
        <v>46</v>
      </c>
      <c r="C15" s="27" t="s">
        <v>47</v>
      </c>
      <c r="D15" s="27" t="str">
        <f t="shared" si="0"/>
        <v>2171204</v>
      </c>
    </row>
    <row r="16" spans="2:4" x14ac:dyDescent="0.4">
      <c r="B16" s="27" t="s">
        <v>32</v>
      </c>
      <c r="C16" s="27" t="s">
        <v>27</v>
      </c>
      <c r="D16" s="27" t="str">
        <f t="shared" si="0"/>
        <v>2241101</v>
      </c>
    </row>
    <row r="17" spans="2:4" x14ac:dyDescent="0.4">
      <c r="B17" s="27" t="s">
        <v>38</v>
      </c>
      <c r="C17" s="27" t="s">
        <v>35</v>
      </c>
      <c r="D17" s="27" t="str">
        <f t="shared" si="0"/>
        <v>2131104</v>
      </c>
    </row>
    <row r="18" spans="2:4" x14ac:dyDescent="0.4">
      <c r="B18" s="27" t="s">
        <v>40</v>
      </c>
      <c r="C18" s="27" t="s">
        <v>48</v>
      </c>
      <c r="D18" s="27" t="str">
        <f t="shared" si="0"/>
        <v>207403</v>
      </c>
    </row>
    <row r="19" spans="2:4" x14ac:dyDescent="0.4">
      <c r="B19" s="27" t="s">
        <v>34</v>
      </c>
      <c r="C19" s="27" t="s">
        <v>49</v>
      </c>
      <c r="D19" s="27" t="str">
        <f t="shared" si="0"/>
        <v>2031402</v>
      </c>
    </row>
    <row r="20" spans="2:4" x14ac:dyDescent="0.4">
      <c r="B20" s="27" t="s">
        <v>34</v>
      </c>
      <c r="C20" s="27" t="s">
        <v>50</v>
      </c>
      <c r="D20" s="27" t="str">
        <f t="shared" si="0"/>
        <v>2031004</v>
      </c>
    </row>
    <row r="21" spans="2:4" x14ac:dyDescent="0.4">
      <c r="B21" s="27" t="s">
        <v>40</v>
      </c>
      <c r="C21" s="27" t="s">
        <v>51</v>
      </c>
      <c r="D21" s="27" t="str">
        <f t="shared" si="0"/>
        <v>2071303</v>
      </c>
    </row>
    <row r="22" spans="2:4" x14ac:dyDescent="0.4">
      <c r="B22" s="27" t="s">
        <v>34</v>
      </c>
      <c r="C22" s="27" t="s">
        <v>45</v>
      </c>
      <c r="D22" s="27" t="str">
        <f t="shared" si="0"/>
        <v>2031304</v>
      </c>
    </row>
    <row r="23" spans="2:4" x14ac:dyDescent="0.4">
      <c r="B23" s="27" t="s">
        <v>46</v>
      </c>
      <c r="C23" s="27" t="s">
        <v>52</v>
      </c>
      <c r="D23" s="27" t="str">
        <f t="shared" si="0"/>
        <v>217804</v>
      </c>
    </row>
    <row r="24" spans="2:4" x14ac:dyDescent="0.4">
      <c r="B24" s="27" t="s">
        <v>53</v>
      </c>
      <c r="C24" s="27" t="s">
        <v>54</v>
      </c>
      <c r="D24" s="27" t="str">
        <f t="shared" si="0"/>
        <v>204704</v>
      </c>
    </row>
    <row r="25" spans="2:4" x14ac:dyDescent="0.4">
      <c r="B25" s="27" t="s">
        <v>38</v>
      </c>
      <c r="C25" s="27" t="s">
        <v>55</v>
      </c>
      <c r="D25" s="27" t="str">
        <f t="shared" si="0"/>
        <v>2131301</v>
      </c>
    </row>
    <row r="26" spans="2:4" x14ac:dyDescent="0.4">
      <c r="B26" s="27" t="s">
        <v>56</v>
      </c>
      <c r="C26" s="27" t="s">
        <v>27</v>
      </c>
      <c r="D26" s="27" t="str">
        <f t="shared" si="0"/>
        <v>2261101</v>
      </c>
    </row>
    <row r="27" spans="2:4" x14ac:dyDescent="0.4">
      <c r="B27" s="27" t="s">
        <v>57</v>
      </c>
      <c r="C27" s="27" t="s">
        <v>54</v>
      </c>
      <c r="D27" s="27" t="str">
        <f t="shared" si="0"/>
        <v>211704</v>
      </c>
    </row>
    <row r="28" spans="2:4" x14ac:dyDescent="0.4">
      <c r="B28" s="27" t="s">
        <v>53</v>
      </c>
      <c r="C28" s="27" t="s">
        <v>52</v>
      </c>
      <c r="D28" s="27" t="str">
        <f t="shared" si="0"/>
        <v>204804</v>
      </c>
    </row>
    <row r="29" spans="2:4" x14ac:dyDescent="0.4">
      <c r="B29" s="27" t="s">
        <v>56</v>
      </c>
      <c r="C29" s="27" t="s">
        <v>58</v>
      </c>
      <c r="D29" s="27" t="str">
        <f t="shared" si="0"/>
        <v>2261005</v>
      </c>
    </row>
    <row r="30" spans="2:4" x14ac:dyDescent="0.4">
      <c r="B30" s="27" t="s">
        <v>56</v>
      </c>
      <c r="C30" s="27" t="s">
        <v>59</v>
      </c>
      <c r="D30" s="27" t="str">
        <f t="shared" si="0"/>
        <v>2261003</v>
      </c>
    </row>
    <row r="31" spans="2:4" x14ac:dyDescent="0.4">
      <c r="B31" s="27" t="s">
        <v>44</v>
      </c>
      <c r="C31" s="27" t="s">
        <v>60</v>
      </c>
      <c r="D31" s="27" t="str">
        <f t="shared" si="0"/>
        <v>2151105</v>
      </c>
    </row>
    <row r="32" spans="2:4" x14ac:dyDescent="0.4">
      <c r="B32" s="27" t="s">
        <v>61</v>
      </c>
      <c r="C32" s="27" t="s">
        <v>35</v>
      </c>
      <c r="D32" s="27" t="str">
        <f t="shared" si="0"/>
        <v>2141104</v>
      </c>
    </row>
    <row r="33" spans="2:4" x14ac:dyDescent="0.4">
      <c r="B33" s="27" t="s">
        <v>62</v>
      </c>
      <c r="C33" s="27" t="s">
        <v>54</v>
      </c>
      <c r="D33" s="27" t="str">
        <f t="shared" si="0"/>
        <v>110704</v>
      </c>
    </row>
    <row r="34" spans="2:4" x14ac:dyDescent="0.4">
      <c r="B34" s="27" t="s">
        <v>36</v>
      </c>
      <c r="C34" s="27" t="s">
        <v>52</v>
      </c>
      <c r="D34" s="27" t="str">
        <f t="shared" si="0"/>
        <v>222804</v>
      </c>
    </row>
    <row r="35" spans="2:4" x14ac:dyDescent="0.4">
      <c r="B35" s="27" t="s">
        <v>28</v>
      </c>
      <c r="C35" s="27" t="s">
        <v>54</v>
      </c>
      <c r="D35" s="27" t="str">
        <f t="shared" si="0"/>
        <v>210704</v>
      </c>
    </row>
    <row r="36" spans="2:4" x14ac:dyDescent="0.4">
      <c r="B36" s="27" t="s">
        <v>34</v>
      </c>
      <c r="C36" s="27" t="s">
        <v>52</v>
      </c>
      <c r="D36" s="27" t="str">
        <f t="shared" si="0"/>
        <v>203804</v>
      </c>
    </row>
    <row r="37" spans="2:4" x14ac:dyDescent="0.4">
      <c r="B37" s="27" t="s">
        <v>53</v>
      </c>
      <c r="C37" s="27" t="s">
        <v>63</v>
      </c>
      <c r="D37" s="27" t="str">
        <f t="shared" si="0"/>
        <v>2041203</v>
      </c>
    </row>
    <row r="38" spans="2:4" x14ac:dyDescent="0.4">
      <c r="B38" s="27" t="s">
        <v>26</v>
      </c>
      <c r="C38" s="27" t="s">
        <v>64</v>
      </c>
      <c r="D38" s="27" t="str">
        <f t="shared" si="0"/>
        <v>212404</v>
      </c>
    </row>
    <row r="39" spans="2:4" x14ac:dyDescent="0.4">
      <c r="B39" s="27" t="s">
        <v>26</v>
      </c>
      <c r="C39" s="27" t="s">
        <v>54</v>
      </c>
      <c r="D39" s="27" t="str">
        <f t="shared" si="0"/>
        <v>212704</v>
      </c>
    </row>
    <row r="40" spans="2:4" x14ac:dyDescent="0.4">
      <c r="B40" s="27" t="s">
        <v>28</v>
      </c>
      <c r="C40" s="27" t="s">
        <v>55</v>
      </c>
      <c r="D40" s="27" t="str">
        <f t="shared" si="0"/>
        <v>2101301</v>
      </c>
    </row>
    <row r="41" spans="2:4" x14ac:dyDescent="0.4">
      <c r="B41" s="27" t="s">
        <v>53</v>
      </c>
      <c r="C41" s="27" t="s">
        <v>65</v>
      </c>
      <c r="D41" s="27" t="str">
        <f t="shared" si="0"/>
        <v>204604</v>
      </c>
    </row>
    <row r="42" spans="2:4" x14ac:dyDescent="0.4">
      <c r="B42" s="27" t="s">
        <v>66</v>
      </c>
      <c r="C42" s="27" t="s">
        <v>67</v>
      </c>
      <c r="D42" s="27" t="str">
        <f t="shared" si="0"/>
        <v>202701</v>
      </c>
    </row>
    <row r="43" spans="2:4" x14ac:dyDescent="0.4">
      <c r="B43" s="27" t="s">
        <v>28</v>
      </c>
      <c r="C43" s="27" t="s">
        <v>43</v>
      </c>
      <c r="D43" s="27" t="str">
        <f t="shared" si="0"/>
        <v>210504</v>
      </c>
    </row>
    <row r="44" spans="2:4" x14ac:dyDescent="0.4">
      <c r="B44" s="27" t="s">
        <v>28</v>
      </c>
      <c r="C44" s="27" t="s">
        <v>53</v>
      </c>
      <c r="D44" s="27" t="str">
        <f t="shared" si="0"/>
        <v>210204</v>
      </c>
    </row>
    <row r="45" spans="2:4" x14ac:dyDescent="0.4">
      <c r="B45" s="27" t="s">
        <v>28</v>
      </c>
      <c r="C45" s="27" t="s">
        <v>68</v>
      </c>
      <c r="D45" s="27" t="str">
        <f t="shared" si="0"/>
        <v>210101</v>
      </c>
    </row>
    <row r="46" spans="2:4" x14ac:dyDescent="0.4">
      <c r="B46" s="27" t="s">
        <v>38</v>
      </c>
      <c r="C46" s="27" t="s">
        <v>69</v>
      </c>
      <c r="D46" s="27" t="str">
        <f t="shared" si="0"/>
        <v>213901</v>
      </c>
    </row>
    <row r="47" spans="2:4" x14ac:dyDescent="0.4">
      <c r="B47" s="27" t="s">
        <v>61</v>
      </c>
      <c r="C47" s="27" t="s">
        <v>64</v>
      </c>
      <c r="D47" s="27" t="str">
        <f t="shared" si="0"/>
        <v>214404</v>
      </c>
    </row>
    <row r="48" spans="2:4" x14ac:dyDescent="0.4">
      <c r="B48" s="27" t="s">
        <v>61</v>
      </c>
      <c r="C48" s="27" t="s">
        <v>70</v>
      </c>
      <c r="D48" s="27" t="str">
        <f t="shared" si="0"/>
        <v>214801</v>
      </c>
    </row>
    <row r="49" spans="2:4" x14ac:dyDescent="0.4">
      <c r="B49" s="27" t="s">
        <v>71</v>
      </c>
      <c r="C49" s="27" t="s">
        <v>72</v>
      </c>
      <c r="D49" s="27" t="str">
        <f t="shared" si="0"/>
        <v>227401</v>
      </c>
    </row>
    <row r="50" spans="2:4" x14ac:dyDescent="0.4">
      <c r="B50" s="27" t="s">
        <v>73</v>
      </c>
      <c r="C50" s="27" t="s">
        <v>74</v>
      </c>
      <c r="D50" s="27" t="str">
        <f t="shared" si="0"/>
        <v>220705</v>
      </c>
    </row>
    <row r="51" spans="2:4" x14ac:dyDescent="0.4">
      <c r="B51" s="27" t="s">
        <v>46</v>
      </c>
      <c r="C51" s="27" t="s">
        <v>75</v>
      </c>
      <c r="D51" s="27" t="str">
        <f t="shared" si="0"/>
        <v>2171302</v>
      </c>
    </row>
    <row r="52" spans="2:4" x14ac:dyDescent="0.4">
      <c r="B52" s="27" t="s">
        <v>28</v>
      </c>
      <c r="C52" s="27" t="s">
        <v>50</v>
      </c>
      <c r="D52" s="27" t="str">
        <f t="shared" si="0"/>
        <v>2101004</v>
      </c>
    </row>
    <row r="53" spans="2:4" x14ac:dyDescent="0.4">
      <c r="B53" s="27" t="s">
        <v>53</v>
      </c>
      <c r="C53" s="27" t="s">
        <v>43</v>
      </c>
      <c r="D53" s="27" t="str">
        <f t="shared" si="0"/>
        <v>204504</v>
      </c>
    </row>
    <row r="54" spans="2:4" x14ac:dyDescent="0.4">
      <c r="B54" s="27" t="s">
        <v>61</v>
      </c>
      <c r="C54" s="27" t="s">
        <v>50</v>
      </c>
      <c r="D54" s="27" t="str">
        <f t="shared" si="0"/>
        <v>2141004</v>
      </c>
    </row>
    <row r="55" spans="2:4" x14ac:dyDescent="0.4">
      <c r="B55" s="27" t="s">
        <v>28</v>
      </c>
      <c r="C55" s="27" t="s">
        <v>35</v>
      </c>
      <c r="D55" s="27" t="str">
        <f t="shared" si="0"/>
        <v>2101104</v>
      </c>
    </row>
    <row r="56" spans="2:4" x14ac:dyDescent="0.4">
      <c r="B56" s="27" t="s">
        <v>61</v>
      </c>
      <c r="C56" s="27" t="s">
        <v>76</v>
      </c>
      <c r="D56" s="27" t="str">
        <f t="shared" si="0"/>
        <v>214805</v>
      </c>
    </row>
    <row r="57" spans="2:4" x14ac:dyDescent="0.4">
      <c r="B57" s="27" t="s">
        <v>77</v>
      </c>
      <c r="C57" s="27" t="s">
        <v>69</v>
      </c>
      <c r="D57" s="27" t="str">
        <f t="shared" si="0"/>
        <v>201901</v>
      </c>
    </row>
    <row r="58" spans="2:4" x14ac:dyDescent="0.4">
      <c r="B58" s="27" t="s">
        <v>28</v>
      </c>
      <c r="C58" s="27" t="s">
        <v>39</v>
      </c>
      <c r="D58" s="27" t="str">
        <f t="shared" si="0"/>
        <v>210501</v>
      </c>
    </row>
    <row r="59" spans="2:4" x14ac:dyDescent="0.4">
      <c r="B59" s="27" t="s">
        <v>34</v>
      </c>
      <c r="C59" s="27" t="s">
        <v>75</v>
      </c>
      <c r="D59" s="27" t="str">
        <f t="shared" si="0"/>
        <v>2031302</v>
      </c>
    </row>
    <row r="60" spans="2:4" x14ac:dyDescent="0.4">
      <c r="B60" s="27" t="s">
        <v>38</v>
      </c>
      <c r="C60" s="27" t="s">
        <v>27</v>
      </c>
      <c r="D60" s="27" t="str">
        <f t="shared" si="0"/>
        <v>2131101</v>
      </c>
    </row>
    <row r="61" spans="2:4" x14ac:dyDescent="0.4">
      <c r="B61" s="27" t="s">
        <v>78</v>
      </c>
      <c r="C61" s="27" t="s">
        <v>79</v>
      </c>
      <c r="D61" s="27" t="str">
        <f t="shared" si="0"/>
        <v>2191102</v>
      </c>
    </row>
    <row r="62" spans="2:4" x14ac:dyDescent="0.4">
      <c r="B62" s="27" t="s">
        <v>57</v>
      </c>
      <c r="C62" s="27" t="s">
        <v>67</v>
      </c>
      <c r="D62" s="27" t="str">
        <f t="shared" si="0"/>
        <v>211701</v>
      </c>
    </row>
    <row r="63" spans="2:4" x14ac:dyDescent="0.4">
      <c r="B63" s="27" t="s">
        <v>28</v>
      </c>
      <c r="C63" s="27" t="s">
        <v>33</v>
      </c>
      <c r="D63" s="27" t="str">
        <f t="shared" si="0"/>
        <v>2101403</v>
      </c>
    </row>
    <row r="64" spans="2:4" x14ac:dyDescent="0.4">
      <c r="B64" s="27" t="s">
        <v>80</v>
      </c>
      <c r="C64" s="27" t="s">
        <v>55</v>
      </c>
      <c r="D64" s="27" t="str">
        <f t="shared" si="0"/>
        <v>2251301</v>
      </c>
    </row>
    <row r="65" spans="2:4" x14ac:dyDescent="0.4">
      <c r="B65" s="27" t="s">
        <v>56</v>
      </c>
      <c r="C65" s="27" t="s">
        <v>81</v>
      </c>
      <c r="D65" s="27" t="str">
        <f t="shared" si="0"/>
        <v>226603</v>
      </c>
    </row>
    <row r="66" spans="2:4" x14ac:dyDescent="0.4">
      <c r="B66" s="27" t="s">
        <v>56</v>
      </c>
      <c r="C66" s="27" t="s">
        <v>82</v>
      </c>
      <c r="D66" s="27" t="str">
        <f t="shared" si="0"/>
        <v>226703</v>
      </c>
    </row>
    <row r="67" spans="2:4" x14ac:dyDescent="0.4">
      <c r="B67" s="27" t="s">
        <v>83</v>
      </c>
      <c r="C67" s="27" t="s">
        <v>33</v>
      </c>
      <c r="D67" s="27" t="str">
        <f t="shared" ref="D67:D130" si="1">B67&amp;C67</f>
        <v>2091403</v>
      </c>
    </row>
    <row r="68" spans="2:4" x14ac:dyDescent="0.4">
      <c r="B68" s="27" t="s">
        <v>71</v>
      </c>
      <c r="C68" s="27" t="s">
        <v>27</v>
      </c>
      <c r="D68" s="27" t="str">
        <f t="shared" si="1"/>
        <v>2271101</v>
      </c>
    </row>
    <row r="69" spans="2:4" x14ac:dyDescent="0.4">
      <c r="B69" s="27" t="s">
        <v>84</v>
      </c>
      <c r="C69" s="27" t="s">
        <v>52</v>
      </c>
      <c r="D69" s="27" t="str">
        <f t="shared" si="1"/>
        <v>206804</v>
      </c>
    </row>
    <row r="70" spans="2:4" x14ac:dyDescent="0.4">
      <c r="B70" s="27" t="s">
        <v>57</v>
      </c>
      <c r="C70" s="27" t="s">
        <v>64</v>
      </c>
      <c r="D70" s="27" t="str">
        <f t="shared" si="1"/>
        <v>211404</v>
      </c>
    </row>
    <row r="71" spans="2:4" x14ac:dyDescent="0.4">
      <c r="B71" s="27" t="s">
        <v>85</v>
      </c>
      <c r="C71" s="27" t="s">
        <v>43</v>
      </c>
      <c r="D71" s="27" t="str">
        <f t="shared" si="1"/>
        <v>221504</v>
      </c>
    </row>
    <row r="72" spans="2:4" x14ac:dyDescent="0.4">
      <c r="B72" s="27" t="s">
        <v>78</v>
      </c>
      <c r="C72" s="27" t="s">
        <v>76</v>
      </c>
      <c r="D72" s="27" t="str">
        <f t="shared" si="1"/>
        <v>219805</v>
      </c>
    </row>
    <row r="73" spans="2:4" x14ac:dyDescent="0.4">
      <c r="B73" s="27" t="s">
        <v>53</v>
      </c>
      <c r="C73" s="27" t="s">
        <v>50</v>
      </c>
      <c r="D73" s="27" t="str">
        <f t="shared" si="1"/>
        <v>2041004</v>
      </c>
    </row>
    <row r="74" spans="2:4" x14ac:dyDescent="0.4">
      <c r="B74" s="27" t="s">
        <v>26</v>
      </c>
      <c r="C74" s="27" t="s">
        <v>52</v>
      </c>
      <c r="D74" s="27" t="str">
        <f t="shared" si="1"/>
        <v>212804</v>
      </c>
    </row>
    <row r="75" spans="2:4" x14ac:dyDescent="0.4">
      <c r="B75" s="27" t="s">
        <v>80</v>
      </c>
      <c r="C75" s="27" t="s">
        <v>86</v>
      </c>
      <c r="D75" s="27" t="str">
        <f t="shared" si="1"/>
        <v>225502</v>
      </c>
    </row>
    <row r="76" spans="2:4" x14ac:dyDescent="0.4">
      <c r="B76" s="27" t="s">
        <v>38</v>
      </c>
      <c r="C76" s="27" t="s">
        <v>87</v>
      </c>
      <c r="D76" s="27" t="str">
        <f t="shared" si="1"/>
        <v>213102</v>
      </c>
    </row>
    <row r="77" spans="2:4" x14ac:dyDescent="0.4">
      <c r="B77" s="27" t="s">
        <v>56</v>
      </c>
      <c r="C77" s="27" t="s">
        <v>88</v>
      </c>
      <c r="D77" s="27" t="str">
        <f t="shared" si="1"/>
        <v>226803</v>
      </c>
    </row>
    <row r="78" spans="2:4" x14ac:dyDescent="0.4">
      <c r="B78" s="27" t="s">
        <v>73</v>
      </c>
      <c r="C78" s="27" t="s">
        <v>63</v>
      </c>
      <c r="D78" s="27" t="str">
        <f t="shared" si="1"/>
        <v>2201203</v>
      </c>
    </row>
    <row r="79" spans="2:4" x14ac:dyDescent="0.4">
      <c r="B79" s="27" t="s">
        <v>26</v>
      </c>
      <c r="C79" s="27" t="s">
        <v>53</v>
      </c>
      <c r="D79" s="27" t="str">
        <f t="shared" si="1"/>
        <v>212204</v>
      </c>
    </row>
    <row r="80" spans="2:4" x14ac:dyDescent="0.4">
      <c r="B80" s="27" t="s">
        <v>61</v>
      </c>
      <c r="C80" s="27" t="s">
        <v>89</v>
      </c>
      <c r="D80" s="27" t="str">
        <f t="shared" si="1"/>
        <v>214305</v>
      </c>
    </row>
    <row r="81" spans="2:4" x14ac:dyDescent="0.4">
      <c r="B81" s="27" t="s">
        <v>66</v>
      </c>
      <c r="C81" s="27" t="s">
        <v>27</v>
      </c>
      <c r="D81" s="27" t="str">
        <f t="shared" si="1"/>
        <v>2021101</v>
      </c>
    </row>
    <row r="82" spans="2:4" x14ac:dyDescent="0.4">
      <c r="B82" s="27" t="s">
        <v>32</v>
      </c>
      <c r="C82" s="27" t="s">
        <v>72</v>
      </c>
      <c r="D82" s="27" t="str">
        <f t="shared" si="1"/>
        <v>224401</v>
      </c>
    </row>
    <row r="83" spans="2:4" x14ac:dyDescent="0.4">
      <c r="B83" s="27" t="s">
        <v>71</v>
      </c>
      <c r="C83" s="27" t="s">
        <v>90</v>
      </c>
      <c r="D83" s="27" t="str">
        <f t="shared" si="1"/>
        <v>227902</v>
      </c>
    </row>
    <row r="84" spans="2:4" x14ac:dyDescent="0.4">
      <c r="B84" s="27" t="s">
        <v>66</v>
      </c>
      <c r="C84" s="27" t="s">
        <v>49</v>
      </c>
      <c r="D84" s="27" t="str">
        <f t="shared" si="1"/>
        <v>2021402</v>
      </c>
    </row>
    <row r="85" spans="2:4" x14ac:dyDescent="0.4">
      <c r="B85" s="27" t="s">
        <v>61</v>
      </c>
      <c r="C85" s="27" t="s">
        <v>91</v>
      </c>
      <c r="D85" s="27" t="str">
        <f t="shared" si="1"/>
        <v>214904</v>
      </c>
    </row>
    <row r="86" spans="2:4" x14ac:dyDescent="0.4">
      <c r="B86" s="27" t="s">
        <v>92</v>
      </c>
      <c r="C86" s="27" t="s">
        <v>31</v>
      </c>
      <c r="D86" s="27" t="str">
        <f t="shared" si="1"/>
        <v>218503</v>
      </c>
    </row>
    <row r="87" spans="2:4" x14ac:dyDescent="0.4">
      <c r="B87" s="27" t="s">
        <v>28</v>
      </c>
      <c r="C87" s="27" t="s">
        <v>86</v>
      </c>
      <c r="D87" s="27" t="str">
        <f t="shared" si="1"/>
        <v>210502</v>
      </c>
    </row>
    <row r="88" spans="2:4" x14ac:dyDescent="0.4">
      <c r="B88" s="27" t="s">
        <v>26</v>
      </c>
      <c r="C88" s="27" t="s">
        <v>65</v>
      </c>
      <c r="D88" s="27" t="str">
        <f t="shared" si="1"/>
        <v>212604</v>
      </c>
    </row>
    <row r="89" spans="2:4" x14ac:dyDescent="0.4">
      <c r="B89" s="27" t="s">
        <v>73</v>
      </c>
      <c r="C89" s="27" t="s">
        <v>79</v>
      </c>
      <c r="D89" s="27" t="str">
        <f t="shared" si="1"/>
        <v>2201102</v>
      </c>
    </row>
    <row r="90" spans="2:4" x14ac:dyDescent="0.4">
      <c r="B90" s="27" t="s">
        <v>30</v>
      </c>
      <c r="C90" s="27" t="s">
        <v>93</v>
      </c>
      <c r="D90" s="27" t="str">
        <f t="shared" si="1"/>
        <v>2081103</v>
      </c>
    </row>
    <row r="91" spans="2:4" x14ac:dyDescent="0.4">
      <c r="B91" s="27" t="s">
        <v>38</v>
      </c>
      <c r="C91" s="27" t="s">
        <v>79</v>
      </c>
      <c r="D91" s="27" t="str">
        <f t="shared" si="1"/>
        <v>2131102</v>
      </c>
    </row>
    <row r="92" spans="2:4" x14ac:dyDescent="0.4">
      <c r="B92" s="27" t="s">
        <v>38</v>
      </c>
      <c r="C92" s="27" t="s">
        <v>77</v>
      </c>
      <c r="D92" s="27" t="str">
        <f t="shared" si="1"/>
        <v>213201</v>
      </c>
    </row>
    <row r="93" spans="2:4" x14ac:dyDescent="0.4">
      <c r="B93" s="27" t="s">
        <v>61</v>
      </c>
      <c r="C93" s="27" t="s">
        <v>45</v>
      </c>
      <c r="D93" s="27" t="str">
        <f t="shared" si="1"/>
        <v>2141304</v>
      </c>
    </row>
    <row r="94" spans="2:4" x14ac:dyDescent="0.4">
      <c r="B94" s="27" t="s">
        <v>71</v>
      </c>
      <c r="C94" s="27" t="s">
        <v>94</v>
      </c>
      <c r="D94" s="27" t="str">
        <f t="shared" si="1"/>
        <v>2271002</v>
      </c>
    </row>
    <row r="95" spans="2:4" x14ac:dyDescent="0.4">
      <c r="B95" s="27" t="s">
        <v>26</v>
      </c>
      <c r="C95" s="27" t="s">
        <v>35</v>
      </c>
      <c r="D95" s="27" t="str">
        <f t="shared" si="1"/>
        <v>2121104</v>
      </c>
    </row>
    <row r="96" spans="2:4" x14ac:dyDescent="0.4">
      <c r="B96" s="27" t="s">
        <v>80</v>
      </c>
      <c r="C96" s="27" t="s">
        <v>29</v>
      </c>
      <c r="D96" s="27" t="str">
        <f t="shared" si="1"/>
        <v>2251201</v>
      </c>
    </row>
    <row r="97" spans="2:4" x14ac:dyDescent="0.4">
      <c r="B97" s="27" t="s">
        <v>71</v>
      </c>
      <c r="C97" s="27" t="s">
        <v>69</v>
      </c>
      <c r="D97" s="27" t="str">
        <f t="shared" si="1"/>
        <v>227901</v>
      </c>
    </row>
    <row r="98" spans="2:4" x14ac:dyDescent="0.4">
      <c r="B98" s="27" t="s">
        <v>57</v>
      </c>
      <c r="C98" s="27" t="s">
        <v>95</v>
      </c>
      <c r="D98" s="27" t="str">
        <f t="shared" si="1"/>
        <v>211903</v>
      </c>
    </row>
    <row r="99" spans="2:4" x14ac:dyDescent="0.4">
      <c r="B99" s="27" t="s">
        <v>34</v>
      </c>
      <c r="C99" s="27" t="s">
        <v>94</v>
      </c>
      <c r="D99" s="27" t="str">
        <f t="shared" si="1"/>
        <v>2031002</v>
      </c>
    </row>
    <row r="100" spans="2:4" x14ac:dyDescent="0.4">
      <c r="B100" s="27" t="s">
        <v>61</v>
      </c>
      <c r="C100" s="27" t="s">
        <v>43</v>
      </c>
      <c r="D100" s="27" t="str">
        <f t="shared" si="1"/>
        <v>214504</v>
      </c>
    </row>
    <row r="101" spans="2:4" x14ac:dyDescent="0.4">
      <c r="B101" s="27" t="s">
        <v>44</v>
      </c>
      <c r="C101" s="27" t="s">
        <v>37</v>
      </c>
      <c r="D101" s="27" t="str">
        <f t="shared" si="1"/>
        <v>2151404</v>
      </c>
    </row>
    <row r="102" spans="2:4" x14ac:dyDescent="0.4">
      <c r="B102" s="27" t="s">
        <v>34</v>
      </c>
      <c r="C102" s="27" t="s">
        <v>70</v>
      </c>
      <c r="D102" s="27" t="str">
        <f t="shared" si="1"/>
        <v>203801</v>
      </c>
    </row>
    <row r="103" spans="2:4" x14ac:dyDescent="0.4">
      <c r="B103" s="27" t="s">
        <v>26</v>
      </c>
      <c r="C103" s="27" t="s">
        <v>96</v>
      </c>
      <c r="D103" s="27" t="str">
        <f t="shared" si="1"/>
        <v>2121001</v>
      </c>
    </row>
    <row r="104" spans="2:4" x14ac:dyDescent="0.4">
      <c r="B104" s="27" t="s">
        <v>57</v>
      </c>
      <c r="C104" s="27" t="s">
        <v>91</v>
      </c>
      <c r="D104" s="27" t="str">
        <f t="shared" si="1"/>
        <v>211904</v>
      </c>
    </row>
    <row r="105" spans="2:4" x14ac:dyDescent="0.4">
      <c r="B105" s="27" t="s">
        <v>57</v>
      </c>
      <c r="C105" s="27" t="s">
        <v>97</v>
      </c>
      <c r="D105" s="27" t="str">
        <f t="shared" si="1"/>
        <v>211601</v>
      </c>
    </row>
    <row r="106" spans="2:4" x14ac:dyDescent="0.4">
      <c r="B106" s="27" t="s">
        <v>46</v>
      </c>
      <c r="C106" s="27" t="s">
        <v>48</v>
      </c>
      <c r="D106" s="27" t="str">
        <f t="shared" si="1"/>
        <v>217403</v>
      </c>
    </row>
    <row r="107" spans="2:4" x14ac:dyDescent="0.4">
      <c r="B107" s="27" t="s">
        <v>34</v>
      </c>
      <c r="C107" s="27" t="s">
        <v>51</v>
      </c>
      <c r="D107" s="27" t="str">
        <f t="shared" si="1"/>
        <v>2031303</v>
      </c>
    </row>
    <row r="108" spans="2:4" x14ac:dyDescent="0.4">
      <c r="B108" s="27" t="s">
        <v>44</v>
      </c>
      <c r="C108" s="27" t="s">
        <v>42</v>
      </c>
      <c r="D108" s="27" t="str">
        <f t="shared" si="1"/>
        <v>2151305</v>
      </c>
    </row>
    <row r="109" spans="2:4" x14ac:dyDescent="0.4">
      <c r="B109" s="27" t="s">
        <v>44</v>
      </c>
      <c r="C109" s="27" t="s">
        <v>35</v>
      </c>
      <c r="D109" s="27" t="str">
        <f t="shared" si="1"/>
        <v>2151104</v>
      </c>
    </row>
    <row r="110" spans="2:4" x14ac:dyDescent="0.4">
      <c r="B110" s="27" t="s">
        <v>61</v>
      </c>
      <c r="C110" s="27" t="s">
        <v>48</v>
      </c>
      <c r="D110" s="27" t="str">
        <f t="shared" si="1"/>
        <v>214403</v>
      </c>
    </row>
    <row r="111" spans="2:4" x14ac:dyDescent="0.4">
      <c r="B111" s="27" t="s">
        <v>30</v>
      </c>
      <c r="C111" s="27" t="s">
        <v>96</v>
      </c>
      <c r="D111" s="27" t="str">
        <f t="shared" si="1"/>
        <v>2081001</v>
      </c>
    </row>
    <row r="112" spans="2:4" x14ac:dyDescent="0.4">
      <c r="B112" s="27" t="s">
        <v>44</v>
      </c>
      <c r="C112" s="27" t="s">
        <v>96</v>
      </c>
      <c r="D112" s="27" t="str">
        <f t="shared" si="1"/>
        <v>2151001</v>
      </c>
    </row>
    <row r="113" spans="2:4" x14ac:dyDescent="0.4">
      <c r="B113" s="27" t="s">
        <v>66</v>
      </c>
      <c r="C113" s="27" t="s">
        <v>98</v>
      </c>
      <c r="D113" s="27" t="str">
        <f t="shared" si="1"/>
        <v>202104</v>
      </c>
    </row>
    <row r="114" spans="2:4" x14ac:dyDescent="0.4">
      <c r="B114" s="27" t="s">
        <v>99</v>
      </c>
      <c r="C114" s="27" t="s">
        <v>41</v>
      </c>
      <c r="D114" s="27" t="str">
        <f t="shared" si="1"/>
        <v>2051401</v>
      </c>
    </row>
    <row r="115" spans="2:4" x14ac:dyDescent="0.4">
      <c r="B115" s="27" t="s">
        <v>73</v>
      </c>
      <c r="C115" s="27" t="s">
        <v>100</v>
      </c>
      <c r="D115" s="27" t="str">
        <f t="shared" si="1"/>
        <v>220605</v>
      </c>
    </row>
    <row r="116" spans="2:4" x14ac:dyDescent="0.4">
      <c r="B116" s="27" t="s">
        <v>56</v>
      </c>
      <c r="C116" s="27" t="s">
        <v>47</v>
      </c>
      <c r="D116" s="27" t="str">
        <f t="shared" si="1"/>
        <v>2261204</v>
      </c>
    </row>
    <row r="117" spans="2:4" x14ac:dyDescent="0.4">
      <c r="B117" s="27" t="s">
        <v>44</v>
      </c>
      <c r="C117" s="27" t="s">
        <v>99</v>
      </c>
      <c r="D117" s="27" t="str">
        <f t="shared" si="1"/>
        <v>215205</v>
      </c>
    </row>
    <row r="118" spans="2:4" x14ac:dyDescent="0.4">
      <c r="B118" s="27" t="s">
        <v>46</v>
      </c>
      <c r="C118" s="27" t="s">
        <v>35</v>
      </c>
      <c r="D118" s="27" t="str">
        <f t="shared" si="1"/>
        <v>2171104</v>
      </c>
    </row>
    <row r="119" spans="2:4" x14ac:dyDescent="0.4">
      <c r="B119" s="27" t="s">
        <v>66</v>
      </c>
      <c r="C119" s="27" t="s">
        <v>101</v>
      </c>
      <c r="D119" s="27" t="str">
        <f t="shared" si="1"/>
        <v>202301</v>
      </c>
    </row>
    <row r="120" spans="2:4" x14ac:dyDescent="0.4">
      <c r="B120" s="27" t="s">
        <v>61</v>
      </c>
      <c r="C120" s="27" t="s">
        <v>74</v>
      </c>
      <c r="D120" s="27" t="str">
        <f t="shared" si="1"/>
        <v>214705</v>
      </c>
    </row>
    <row r="121" spans="2:4" x14ac:dyDescent="0.4">
      <c r="B121" s="27" t="s">
        <v>85</v>
      </c>
      <c r="C121" s="27" t="s">
        <v>86</v>
      </c>
      <c r="D121" s="27" t="str">
        <f t="shared" si="1"/>
        <v>221502</v>
      </c>
    </row>
    <row r="122" spans="2:4" x14ac:dyDescent="0.4">
      <c r="B122" s="27" t="s">
        <v>71</v>
      </c>
      <c r="C122" s="27" t="s">
        <v>87</v>
      </c>
      <c r="D122" s="27" t="str">
        <f t="shared" si="1"/>
        <v>227102</v>
      </c>
    </row>
    <row r="123" spans="2:4" x14ac:dyDescent="0.4">
      <c r="B123" s="27" t="s">
        <v>73</v>
      </c>
      <c r="C123" s="27" t="s">
        <v>72</v>
      </c>
      <c r="D123" s="27" t="str">
        <f t="shared" si="1"/>
        <v>220401</v>
      </c>
    </row>
    <row r="124" spans="2:4" x14ac:dyDescent="0.4">
      <c r="B124" s="27" t="s">
        <v>40</v>
      </c>
      <c r="C124" s="27" t="s">
        <v>102</v>
      </c>
      <c r="D124" s="27" t="str">
        <f t="shared" si="1"/>
        <v>207103</v>
      </c>
    </row>
    <row r="125" spans="2:4" x14ac:dyDescent="0.4">
      <c r="B125" s="27" t="s">
        <v>34</v>
      </c>
      <c r="C125" s="27" t="s">
        <v>31</v>
      </c>
      <c r="D125" s="27" t="str">
        <f t="shared" si="1"/>
        <v>203503</v>
      </c>
    </row>
    <row r="126" spans="2:4" x14ac:dyDescent="0.4">
      <c r="B126" s="27" t="s">
        <v>32</v>
      </c>
      <c r="C126" s="27" t="s">
        <v>103</v>
      </c>
      <c r="D126" s="27" t="str">
        <f t="shared" si="1"/>
        <v>224405</v>
      </c>
    </row>
    <row r="127" spans="2:4" x14ac:dyDescent="0.4">
      <c r="B127" s="27" t="s">
        <v>61</v>
      </c>
      <c r="C127" s="27" t="s">
        <v>69</v>
      </c>
      <c r="D127" s="27" t="str">
        <f t="shared" si="1"/>
        <v>214901</v>
      </c>
    </row>
    <row r="128" spans="2:4" x14ac:dyDescent="0.4">
      <c r="B128" s="27" t="s">
        <v>30</v>
      </c>
      <c r="C128" s="27" t="s">
        <v>86</v>
      </c>
      <c r="D128" s="27" t="str">
        <f t="shared" si="1"/>
        <v>208502</v>
      </c>
    </row>
    <row r="129" spans="2:4" x14ac:dyDescent="0.4">
      <c r="B129" s="27" t="s">
        <v>40</v>
      </c>
      <c r="C129" s="27" t="s">
        <v>77</v>
      </c>
      <c r="D129" s="27" t="str">
        <f t="shared" si="1"/>
        <v>207201</v>
      </c>
    </row>
    <row r="130" spans="2:4" x14ac:dyDescent="0.4">
      <c r="B130" s="27" t="s">
        <v>36</v>
      </c>
      <c r="C130" s="27" t="s">
        <v>54</v>
      </c>
      <c r="D130" s="27" t="str">
        <f t="shared" si="1"/>
        <v>222704</v>
      </c>
    </row>
    <row r="131" spans="2:4" x14ac:dyDescent="0.4">
      <c r="B131" s="27" t="s">
        <v>61</v>
      </c>
      <c r="C131" s="27" t="s">
        <v>55</v>
      </c>
      <c r="D131" s="27" t="str">
        <f t="shared" ref="D131:D194" si="2">B131&amp;C131</f>
        <v>2141301</v>
      </c>
    </row>
    <row r="132" spans="2:4" x14ac:dyDescent="0.4">
      <c r="B132" s="27" t="s">
        <v>56</v>
      </c>
      <c r="C132" s="27" t="s">
        <v>42</v>
      </c>
      <c r="D132" s="27" t="str">
        <f t="shared" si="2"/>
        <v>2261305</v>
      </c>
    </row>
    <row r="133" spans="2:4" x14ac:dyDescent="0.4">
      <c r="B133" s="27" t="s">
        <v>53</v>
      </c>
      <c r="C133" s="27" t="s">
        <v>33</v>
      </c>
      <c r="D133" s="27" t="str">
        <f t="shared" si="2"/>
        <v>2041403</v>
      </c>
    </row>
    <row r="134" spans="2:4" x14ac:dyDescent="0.4">
      <c r="B134" s="27" t="s">
        <v>57</v>
      </c>
      <c r="C134" s="27" t="s">
        <v>96</v>
      </c>
      <c r="D134" s="27" t="str">
        <f t="shared" si="2"/>
        <v>2111001</v>
      </c>
    </row>
    <row r="135" spans="2:4" x14ac:dyDescent="0.4">
      <c r="B135" s="27" t="s">
        <v>46</v>
      </c>
      <c r="C135" s="27" t="s">
        <v>95</v>
      </c>
      <c r="D135" s="27" t="str">
        <f t="shared" si="2"/>
        <v>217903</v>
      </c>
    </row>
    <row r="136" spans="2:4" x14ac:dyDescent="0.4">
      <c r="B136" s="27" t="s">
        <v>57</v>
      </c>
      <c r="C136" s="27" t="s">
        <v>90</v>
      </c>
      <c r="D136" s="27" t="str">
        <f t="shared" si="2"/>
        <v>211902</v>
      </c>
    </row>
    <row r="137" spans="2:4" x14ac:dyDescent="0.4">
      <c r="B137" s="27" t="s">
        <v>85</v>
      </c>
      <c r="C137" s="27" t="s">
        <v>55</v>
      </c>
      <c r="D137" s="27" t="str">
        <f t="shared" si="2"/>
        <v>2211301</v>
      </c>
    </row>
    <row r="138" spans="2:4" x14ac:dyDescent="0.4">
      <c r="B138" s="27" t="s">
        <v>38</v>
      </c>
      <c r="C138" s="27" t="s">
        <v>47</v>
      </c>
      <c r="D138" s="27" t="str">
        <f t="shared" si="2"/>
        <v>2131204</v>
      </c>
    </row>
    <row r="139" spans="2:4" x14ac:dyDescent="0.4">
      <c r="B139" s="27" t="s">
        <v>66</v>
      </c>
      <c r="C139" s="27" t="s">
        <v>75</v>
      </c>
      <c r="D139" s="27" t="str">
        <f t="shared" si="2"/>
        <v>2021302</v>
      </c>
    </row>
    <row r="140" spans="2:4" x14ac:dyDescent="0.4">
      <c r="B140" s="27" t="s">
        <v>32</v>
      </c>
      <c r="C140" s="27" t="s">
        <v>90</v>
      </c>
      <c r="D140" s="27" t="str">
        <f t="shared" si="2"/>
        <v>224902</v>
      </c>
    </row>
    <row r="141" spans="2:4" x14ac:dyDescent="0.4">
      <c r="B141" s="27" t="s">
        <v>83</v>
      </c>
      <c r="C141" s="27" t="s">
        <v>88</v>
      </c>
      <c r="D141" s="27" t="str">
        <f t="shared" si="2"/>
        <v>209803</v>
      </c>
    </row>
    <row r="142" spans="2:4" x14ac:dyDescent="0.4">
      <c r="B142" s="27" t="s">
        <v>57</v>
      </c>
      <c r="C142" s="27" t="s">
        <v>69</v>
      </c>
      <c r="D142" s="27" t="str">
        <f t="shared" si="2"/>
        <v>211901</v>
      </c>
    </row>
    <row r="143" spans="2:4" x14ac:dyDescent="0.4">
      <c r="B143" s="27" t="s">
        <v>34</v>
      </c>
      <c r="C143" s="27" t="s">
        <v>63</v>
      </c>
      <c r="D143" s="27" t="str">
        <f t="shared" si="2"/>
        <v>2031203</v>
      </c>
    </row>
    <row r="144" spans="2:4" x14ac:dyDescent="0.4">
      <c r="B144" s="27" t="s">
        <v>57</v>
      </c>
      <c r="C144" s="27" t="s">
        <v>53</v>
      </c>
      <c r="D144" s="27" t="str">
        <f t="shared" si="2"/>
        <v>211204</v>
      </c>
    </row>
    <row r="145" spans="2:4" x14ac:dyDescent="0.4">
      <c r="B145" s="27" t="s">
        <v>32</v>
      </c>
      <c r="C145" s="27" t="s">
        <v>89</v>
      </c>
      <c r="D145" s="27" t="str">
        <f t="shared" si="2"/>
        <v>224305</v>
      </c>
    </row>
    <row r="146" spans="2:4" x14ac:dyDescent="0.4">
      <c r="B146" s="27" t="s">
        <v>77</v>
      </c>
      <c r="C146" s="27" t="s">
        <v>81</v>
      </c>
      <c r="D146" s="27" t="str">
        <f t="shared" si="2"/>
        <v>201603</v>
      </c>
    </row>
    <row r="147" spans="2:4" x14ac:dyDescent="0.4">
      <c r="B147" s="27" t="s">
        <v>38</v>
      </c>
      <c r="C147" s="27" t="s">
        <v>104</v>
      </c>
      <c r="D147" s="27" t="str">
        <f t="shared" si="2"/>
        <v>213105</v>
      </c>
    </row>
    <row r="148" spans="2:4" x14ac:dyDescent="0.4">
      <c r="B148" s="27" t="s">
        <v>77</v>
      </c>
      <c r="C148" s="27" t="s">
        <v>95</v>
      </c>
      <c r="D148" s="27" t="str">
        <f t="shared" si="2"/>
        <v>201903</v>
      </c>
    </row>
    <row r="149" spans="2:4" x14ac:dyDescent="0.4">
      <c r="B149" s="27" t="s">
        <v>77</v>
      </c>
      <c r="C149" s="27" t="s">
        <v>29</v>
      </c>
      <c r="D149" s="27" t="str">
        <f t="shared" si="2"/>
        <v>2011201</v>
      </c>
    </row>
    <row r="150" spans="2:4" x14ac:dyDescent="0.4">
      <c r="B150" s="27" t="s">
        <v>83</v>
      </c>
      <c r="C150" s="27" t="s">
        <v>105</v>
      </c>
      <c r="D150" s="27" t="str">
        <f t="shared" si="2"/>
        <v>209303</v>
      </c>
    </row>
    <row r="151" spans="2:4" x14ac:dyDescent="0.4">
      <c r="B151" s="27" t="s">
        <v>83</v>
      </c>
      <c r="C151" s="27" t="s">
        <v>29</v>
      </c>
      <c r="D151" s="27" t="str">
        <f t="shared" si="2"/>
        <v>2091201</v>
      </c>
    </row>
    <row r="152" spans="2:4" x14ac:dyDescent="0.4">
      <c r="B152" s="27" t="s">
        <v>66</v>
      </c>
      <c r="C152" s="27" t="s">
        <v>29</v>
      </c>
      <c r="D152" s="27" t="str">
        <f t="shared" si="2"/>
        <v>2021201</v>
      </c>
    </row>
    <row r="153" spans="2:4" x14ac:dyDescent="0.4">
      <c r="B153" s="27" t="s">
        <v>77</v>
      </c>
      <c r="C153" s="27" t="s">
        <v>101</v>
      </c>
      <c r="D153" s="27" t="str">
        <f t="shared" si="2"/>
        <v>201301</v>
      </c>
    </row>
    <row r="154" spans="2:4" x14ac:dyDescent="0.4">
      <c r="B154" s="27" t="s">
        <v>71</v>
      </c>
      <c r="C154" s="27" t="s">
        <v>106</v>
      </c>
      <c r="D154" s="27" t="str">
        <f t="shared" si="2"/>
        <v>227402</v>
      </c>
    </row>
    <row r="155" spans="2:4" x14ac:dyDescent="0.4">
      <c r="B155" s="27" t="s">
        <v>46</v>
      </c>
      <c r="C155" s="27" t="s">
        <v>55</v>
      </c>
      <c r="D155" s="27" t="str">
        <f t="shared" si="2"/>
        <v>2171301</v>
      </c>
    </row>
    <row r="156" spans="2:4" x14ac:dyDescent="0.4">
      <c r="B156" s="27" t="s">
        <v>56</v>
      </c>
      <c r="C156" s="27" t="s">
        <v>35</v>
      </c>
      <c r="D156" s="27" t="str">
        <f t="shared" si="2"/>
        <v>2261104</v>
      </c>
    </row>
    <row r="157" spans="2:4" x14ac:dyDescent="0.4">
      <c r="B157" s="27" t="s">
        <v>73</v>
      </c>
      <c r="C157" s="27" t="s">
        <v>93</v>
      </c>
      <c r="D157" s="27" t="str">
        <f t="shared" si="2"/>
        <v>2201103</v>
      </c>
    </row>
    <row r="158" spans="2:4" x14ac:dyDescent="0.4">
      <c r="B158" s="27" t="s">
        <v>99</v>
      </c>
      <c r="C158" s="27" t="s">
        <v>88</v>
      </c>
      <c r="D158" s="27" t="str">
        <f t="shared" si="2"/>
        <v>205803</v>
      </c>
    </row>
    <row r="159" spans="2:4" x14ac:dyDescent="0.4">
      <c r="B159" s="27" t="s">
        <v>56</v>
      </c>
      <c r="C159" s="27" t="s">
        <v>107</v>
      </c>
      <c r="D159" s="27" t="str">
        <f t="shared" si="2"/>
        <v>226905</v>
      </c>
    </row>
    <row r="160" spans="2:4" x14ac:dyDescent="0.4">
      <c r="B160" s="27" t="s">
        <v>56</v>
      </c>
      <c r="C160" s="27" t="s">
        <v>99</v>
      </c>
      <c r="D160" s="27" t="str">
        <f t="shared" si="2"/>
        <v>226205</v>
      </c>
    </row>
    <row r="161" spans="2:4" x14ac:dyDescent="0.4">
      <c r="B161" s="27" t="s">
        <v>36</v>
      </c>
      <c r="C161" s="27" t="s">
        <v>64</v>
      </c>
      <c r="D161" s="27" t="str">
        <f t="shared" si="2"/>
        <v>222404</v>
      </c>
    </row>
    <row r="162" spans="2:4" x14ac:dyDescent="0.4">
      <c r="B162" s="27" t="s">
        <v>44</v>
      </c>
      <c r="C162" s="27" t="s">
        <v>108</v>
      </c>
      <c r="D162" s="27" t="str">
        <f t="shared" si="2"/>
        <v>215702</v>
      </c>
    </row>
    <row r="163" spans="2:4" x14ac:dyDescent="0.4">
      <c r="B163" s="27" t="s">
        <v>92</v>
      </c>
      <c r="C163" s="27" t="s">
        <v>43</v>
      </c>
      <c r="D163" s="27" t="str">
        <f t="shared" si="2"/>
        <v>218504</v>
      </c>
    </row>
    <row r="164" spans="2:4" x14ac:dyDescent="0.4">
      <c r="B164" s="27" t="s">
        <v>109</v>
      </c>
      <c r="C164" s="27" t="s">
        <v>99</v>
      </c>
      <c r="D164" s="27" t="str">
        <f t="shared" si="2"/>
        <v>223205</v>
      </c>
    </row>
    <row r="165" spans="2:4" x14ac:dyDescent="0.4">
      <c r="B165" s="27" t="s">
        <v>109</v>
      </c>
      <c r="C165" s="27" t="s">
        <v>94</v>
      </c>
      <c r="D165" s="27" t="str">
        <f t="shared" si="2"/>
        <v>2231002</v>
      </c>
    </row>
    <row r="166" spans="2:4" x14ac:dyDescent="0.4">
      <c r="B166" s="27" t="s">
        <v>80</v>
      </c>
      <c r="C166" s="27" t="s">
        <v>66</v>
      </c>
      <c r="D166" s="27" t="str">
        <f t="shared" si="2"/>
        <v>225202</v>
      </c>
    </row>
    <row r="167" spans="2:4" x14ac:dyDescent="0.4">
      <c r="B167" s="27" t="s">
        <v>80</v>
      </c>
      <c r="C167" s="27" t="s">
        <v>81</v>
      </c>
      <c r="D167" s="27" t="str">
        <f t="shared" si="2"/>
        <v>225603</v>
      </c>
    </row>
    <row r="168" spans="2:4" x14ac:dyDescent="0.4">
      <c r="B168" s="27" t="s">
        <v>83</v>
      </c>
      <c r="C168" s="27" t="s">
        <v>55</v>
      </c>
      <c r="D168" s="27" t="str">
        <f t="shared" si="2"/>
        <v>2091301</v>
      </c>
    </row>
    <row r="169" spans="2:4" x14ac:dyDescent="0.4">
      <c r="B169" s="27" t="s">
        <v>110</v>
      </c>
      <c r="C169" s="27" t="s">
        <v>90</v>
      </c>
      <c r="D169" s="27" t="str">
        <f t="shared" si="2"/>
        <v>216902</v>
      </c>
    </row>
    <row r="170" spans="2:4" x14ac:dyDescent="0.4">
      <c r="B170" s="27" t="s">
        <v>30</v>
      </c>
      <c r="C170" s="27" t="s">
        <v>81</v>
      </c>
      <c r="D170" s="27" t="str">
        <f t="shared" si="2"/>
        <v>208603</v>
      </c>
    </row>
    <row r="171" spans="2:4" x14ac:dyDescent="0.4">
      <c r="B171" s="27" t="s">
        <v>85</v>
      </c>
      <c r="C171" s="27" t="s">
        <v>37</v>
      </c>
      <c r="D171" s="27" t="str">
        <f t="shared" si="2"/>
        <v>2211404</v>
      </c>
    </row>
    <row r="172" spans="2:4" x14ac:dyDescent="0.4">
      <c r="B172" s="27" t="s">
        <v>99</v>
      </c>
      <c r="C172" s="27" t="s">
        <v>82</v>
      </c>
      <c r="D172" s="27" t="str">
        <f t="shared" si="2"/>
        <v>205703</v>
      </c>
    </row>
    <row r="173" spans="2:4" x14ac:dyDescent="0.4">
      <c r="B173" s="27" t="s">
        <v>46</v>
      </c>
      <c r="C173" s="27" t="s">
        <v>91</v>
      </c>
      <c r="D173" s="27" t="str">
        <f t="shared" si="2"/>
        <v>217904</v>
      </c>
    </row>
    <row r="174" spans="2:4" x14ac:dyDescent="0.4">
      <c r="B174" s="27" t="s">
        <v>99</v>
      </c>
      <c r="C174" s="27" t="s">
        <v>59</v>
      </c>
      <c r="D174" s="27" t="str">
        <f t="shared" si="2"/>
        <v>2051003</v>
      </c>
    </row>
    <row r="175" spans="2:4" x14ac:dyDescent="0.4">
      <c r="B175" s="27" t="s">
        <v>84</v>
      </c>
      <c r="C175" s="27" t="s">
        <v>59</v>
      </c>
      <c r="D175" s="27" t="str">
        <f t="shared" si="2"/>
        <v>2061003</v>
      </c>
    </row>
    <row r="176" spans="2:4" x14ac:dyDescent="0.4">
      <c r="B176" s="27" t="s">
        <v>38</v>
      </c>
      <c r="C176" s="27" t="s">
        <v>98</v>
      </c>
      <c r="D176" s="27" t="str">
        <f t="shared" si="2"/>
        <v>213104</v>
      </c>
    </row>
    <row r="177" spans="2:4" x14ac:dyDescent="0.4">
      <c r="B177" s="27" t="s">
        <v>71</v>
      </c>
      <c r="C177" s="27" t="s">
        <v>79</v>
      </c>
      <c r="D177" s="27" t="str">
        <f t="shared" si="2"/>
        <v>2271102</v>
      </c>
    </row>
    <row r="178" spans="2:4" x14ac:dyDescent="0.4">
      <c r="B178" s="27" t="s">
        <v>44</v>
      </c>
      <c r="C178" s="27" t="s">
        <v>53</v>
      </c>
      <c r="D178" s="27" t="str">
        <f t="shared" si="2"/>
        <v>215204</v>
      </c>
    </row>
    <row r="179" spans="2:4" x14ac:dyDescent="0.4">
      <c r="B179" s="27" t="s">
        <v>44</v>
      </c>
      <c r="C179" s="27" t="s">
        <v>79</v>
      </c>
      <c r="D179" s="27" t="str">
        <f t="shared" si="2"/>
        <v>2151102</v>
      </c>
    </row>
    <row r="180" spans="2:4" x14ac:dyDescent="0.4">
      <c r="B180" s="27" t="s">
        <v>109</v>
      </c>
      <c r="C180" s="27" t="s">
        <v>47</v>
      </c>
      <c r="D180" s="27" t="str">
        <f t="shared" si="2"/>
        <v>2231204</v>
      </c>
    </row>
    <row r="181" spans="2:4" x14ac:dyDescent="0.4">
      <c r="B181" s="27" t="s">
        <v>30</v>
      </c>
      <c r="C181" s="27" t="s">
        <v>69</v>
      </c>
      <c r="D181" s="27" t="str">
        <f t="shared" si="2"/>
        <v>208901</v>
      </c>
    </row>
    <row r="182" spans="2:4" x14ac:dyDescent="0.4">
      <c r="B182" s="27" t="s">
        <v>53</v>
      </c>
      <c r="C182" s="27" t="s">
        <v>64</v>
      </c>
      <c r="D182" s="27" t="str">
        <f t="shared" si="2"/>
        <v>204404</v>
      </c>
    </row>
    <row r="183" spans="2:4" x14ac:dyDescent="0.4">
      <c r="B183" s="27" t="s">
        <v>32</v>
      </c>
      <c r="C183" s="27" t="s">
        <v>64</v>
      </c>
      <c r="D183" s="27" t="str">
        <f t="shared" si="2"/>
        <v>224404</v>
      </c>
    </row>
    <row r="184" spans="2:4" x14ac:dyDescent="0.4">
      <c r="B184" s="27" t="s">
        <v>73</v>
      </c>
      <c r="C184" s="27" t="s">
        <v>81</v>
      </c>
      <c r="D184" s="27" t="str">
        <f t="shared" si="2"/>
        <v>220603</v>
      </c>
    </row>
    <row r="185" spans="2:4" x14ac:dyDescent="0.4">
      <c r="B185" s="27" t="s">
        <v>34</v>
      </c>
      <c r="C185" s="27" t="s">
        <v>93</v>
      </c>
      <c r="D185" s="27" t="str">
        <f t="shared" si="2"/>
        <v>2031103</v>
      </c>
    </row>
    <row r="186" spans="2:4" x14ac:dyDescent="0.4">
      <c r="B186" s="27" t="s">
        <v>109</v>
      </c>
      <c r="C186" s="27" t="s">
        <v>81</v>
      </c>
      <c r="D186" s="27" t="str">
        <f t="shared" si="2"/>
        <v>223603</v>
      </c>
    </row>
    <row r="187" spans="2:4" x14ac:dyDescent="0.4">
      <c r="B187" s="27" t="s">
        <v>56</v>
      </c>
      <c r="C187" s="27" t="s">
        <v>111</v>
      </c>
      <c r="D187" s="27" t="str">
        <f t="shared" si="2"/>
        <v>226602</v>
      </c>
    </row>
    <row r="188" spans="2:4" x14ac:dyDescent="0.4">
      <c r="B188" s="27" t="s">
        <v>44</v>
      </c>
      <c r="C188" s="27" t="s">
        <v>89</v>
      </c>
      <c r="D188" s="27" t="str">
        <f t="shared" si="2"/>
        <v>215305</v>
      </c>
    </row>
    <row r="189" spans="2:4" x14ac:dyDescent="0.4">
      <c r="B189" s="27" t="s">
        <v>66</v>
      </c>
      <c r="C189" s="27" t="s">
        <v>106</v>
      </c>
      <c r="D189" s="27" t="str">
        <f t="shared" si="2"/>
        <v>202402</v>
      </c>
    </row>
    <row r="190" spans="2:4" x14ac:dyDescent="0.4">
      <c r="B190" s="27" t="s">
        <v>30</v>
      </c>
      <c r="C190" s="27" t="s">
        <v>72</v>
      </c>
      <c r="D190" s="27" t="str">
        <f t="shared" si="2"/>
        <v>208401</v>
      </c>
    </row>
    <row r="191" spans="2:4" x14ac:dyDescent="0.4">
      <c r="B191" s="27" t="s">
        <v>99</v>
      </c>
      <c r="C191" s="27" t="s">
        <v>31</v>
      </c>
      <c r="D191" s="27" t="str">
        <f t="shared" si="2"/>
        <v>205503</v>
      </c>
    </row>
    <row r="192" spans="2:4" x14ac:dyDescent="0.4">
      <c r="B192" s="27" t="s">
        <v>83</v>
      </c>
      <c r="C192" s="27" t="s">
        <v>93</v>
      </c>
      <c r="D192" s="27" t="str">
        <f t="shared" si="2"/>
        <v>2091103</v>
      </c>
    </row>
    <row r="193" spans="2:4" x14ac:dyDescent="0.4">
      <c r="B193" s="27" t="s">
        <v>109</v>
      </c>
      <c r="C193" s="27" t="s">
        <v>82</v>
      </c>
      <c r="D193" s="27" t="str">
        <f t="shared" si="2"/>
        <v>223703</v>
      </c>
    </row>
    <row r="194" spans="2:4" x14ac:dyDescent="0.4">
      <c r="B194" s="27" t="s">
        <v>84</v>
      </c>
      <c r="C194" s="27" t="s">
        <v>101</v>
      </c>
      <c r="D194" s="27" t="str">
        <f t="shared" si="2"/>
        <v>206301</v>
      </c>
    </row>
    <row r="195" spans="2:4" x14ac:dyDescent="0.4">
      <c r="B195" s="27" t="s">
        <v>109</v>
      </c>
      <c r="C195" s="27" t="s">
        <v>86</v>
      </c>
      <c r="D195" s="27" t="str">
        <f t="shared" ref="D195:D258" si="3">B195&amp;C195</f>
        <v>223502</v>
      </c>
    </row>
    <row r="196" spans="2:4" x14ac:dyDescent="0.4">
      <c r="B196" s="27" t="s">
        <v>77</v>
      </c>
      <c r="C196" s="27" t="s">
        <v>48</v>
      </c>
      <c r="D196" s="27" t="str">
        <f t="shared" si="3"/>
        <v>201403</v>
      </c>
    </row>
    <row r="197" spans="2:4" x14ac:dyDescent="0.4">
      <c r="B197" s="27" t="s">
        <v>84</v>
      </c>
      <c r="C197" s="27" t="s">
        <v>63</v>
      </c>
      <c r="D197" s="27" t="str">
        <f t="shared" si="3"/>
        <v>2061203</v>
      </c>
    </row>
    <row r="198" spans="2:4" x14ac:dyDescent="0.4">
      <c r="B198" s="27" t="s">
        <v>36</v>
      </c>
      <c r="C198" s="27" t="s">
        <v>45</v>
      </c>
      <c r="D198" s="27" t="str">
        <f t="shared" si="3"/>
        <v>2221304</v>
      </c>
    </row>
    <row r="199" spans="2:4" x14ac:dyDescent="0.4">
      <c r="B199" s="27" t="s">
        <v>28</v>
      </c>
      <c r="C199" s="27" t="s">
        <v>112</v>
      </c>
      <c r="D199" s="27" t="str">
        <f t="shared" si="3"/>
        <v>210302</v>
      </c>
    </row>
    <row r="200" spans="2:4" x14ac:dyDescent="0.4">
      <c r="B200" s="27" t="s">
        <v>32</v>
      </c>
      <c r="C200" s="27" t="s">
        <v>34</v>
      </c>
      <c r="D200" s="27" t="str">
        <f t="shared" si="3"/>
        <v>224203</v>
      </c>
    </row>
    <row r="201" spans="2:4" x14ac:dyDescent="0.4">
      <c r="B201" s="27" t="s">
        <v>85</v>
      </c>
      <c r="C201" s="27" t="s">
        <v>34</v>
      </c>
      <c r="D201" s="27" t="str">
        <f t="shared" si="3"/>
        <v>221203</v>
      </c>
    </row>
    <row r="202" spans="2:4" x14ac:dyDescent="0.4">
      <c r="B202" s="27" t="s">
        <v>73</v>
      </c>
      <c r="C202" s="27" t="s">
        <v>108</v>
      </c>
      <c r="D202" s="27" t="str">
        <f t="shared" si="3"/>
        <v>220702</v>
      </c>
    </row>
    <row r="203" spans="2:4" x14ac:dyDescent="0.4">
      <c r="B203" s="27" t="s">
        <v>73</v>
      </c>
      <c r="C203" s="27" t="s">
        <v>70</v>
      </c>
      <c r="D203" s="27" t="str">
        <f t="shared" si="3"/>
        <v>220801</v>
      </c>
    </row>
    <row r="204" spans="2:4" x14ac:dyDescent="0.4">
      <c r="B204" s="27" t="s">
        <v>83</v>
      </c>
      <c r="C204" s="27" t="s">
        <v>101</v>
      </c>
      <c r="D204" s="27" t="str">
        <f t="shared" si="3"/>
        <v>209301</v>
      </c>
    </row>
    <row r="205" spans="2:4" x14ac:dyDescent="0.4">
      <c r="B205" s="27" t="s">
        <v>73</v>
      </c>
      <c r="C205" s="27" t="s">
        <v>104</v>
      </c>
      <c r="D205" s="27" t="str">
        <f t="shared" si="3"/>
        <v>220105</v>
      </c>
    </row>
    <row r="206" spans="2:4" x14ac:dyDescent="0.4">
      <c r="B206" s="27" t="s">
        <v>53</v>
      </c>
      <c r="C206" s="27" t="s">
        <v>102</v>
      </c>
      <c r="D206" s="27" t="str">
        <f t="shared" si="3"/>
        <v>204103</v>
      </c>
    </row>
    <row r="207" spans="2:4" x14ac:dyDescent="0.4">
      <c r="B207" s="27" t="s">
        <v>71</v>
      </c>
      <c r="C207" s="27" t="s">
        <v>39</v>
      </c>
      <c r="D207" s="27" t="str">
        <f t="shared" si="3"/>
        <v>227501</v>
      </c>
    </row>
    <row r="208" spans="2:4" x14ac:dyDescent="0.4">
      <c r="B208" s="27" t="s">
        <v>56</v>
      </c>
      <c r="C208" s="27" t="s">
        <v>74</v>
      </c>
      <c r="D208" s="27" t="str">
        <f t="shared" si="3"/>
        <v>226705</v>
      </c>
    </row>
    <row r="209" spans="2:4" x14ac:dyDescent="0.4">
      <c r="B209" s="27" t="s">
        <v>56</v>
      </c>
      <c r="C209" s="27" t="s">
        <v>77</v>
      </c>
      <c r="D209" s="27" t="str">
        <f t="shared" si="3"/>
        <v>226201</v>
      </c>
    </row>
    <row r="210" spans="2:4" x14ac:dyDescent="0.4">
      <c r="B210" s="27" t="s">
        <v>77</v>
      </c>
      <c r="C210" s="27" t="s">
        <v>113</v>
      </c>
      <c r="D210" s="27" t="str">
        <f t="shared" si="3"/>
        <v>2011202</v>
      </c>
    </row>
    <row r="211" spans="2:4" x14ac:dyDescent="0.4">
      <c r="B211" s="27" t="s">
        <v>77</v>
      </c>
      <c r="C211" s="27" t="s">
        <v>53</v>
      </c>
      <c r="D211" s="27" t="str">
        <f t="shared" si="3"/>
        <v>201204</v>
      </c>
    </row>
    <row r="212" spans="2:4" x14ac:dyDescent="0.4">
      <c r="B212" s="27" t="s">
        <v>99</v>
      </c>
      <c r="C212" s="27" t="s">
        <v>69</v>
      </c>
      <c r="D212" s="27" t="str">
        <f t="shared" si="3"/>
        <v>205901</v>
      </c>
    </row>
    <row r="213" spans="2:4" x14ac:dyDescent="0.4">
      <c r="B213" s="27" t="s">
        <v>56</v>
      </c>
      <c r="C213" s="27" t="s">
        <v>76</v>
      </c>
      <c r="D213" s="27" t="str">
        <f t="shared" si="3"/>
        <v>226805</v>
      </c>
    </row>
    <row r="214" spans="2:4" x14ac:dyDescent="0.4">
      <c r="B214" s="27" t="s">
        <v>32</v>
      </c>
      <c r="C214" s="27" t="s">
        <v>50</v>
      </c>
      <c r="D214" s="27" t="str">
        <f t="shared" si="3"/>
        <v>2241004</v>
      </c>
    </row>
    <row r="215" spans="2:4" x14ac:dyDescent="0.4">
      <c r="B215" s="27" t="s">
        <v>26</v>
      </c>
      <c r="C215" s="27" t="s">
        <v>55</v>
      </c>
      <c r="D215" s="27" t="str">
        <f t="shared" si="3"/>
        <v>2121301</v>
      </c>
    </row>
    <row r="216" spans="2:4" x14ac:dyDescent="0.4">
      <c r="B216" s="27" t="s">
        <v>38</v>
      </c>
      <c r="C216" s="27" t="s">
        <v>114</v>
      </c>
      <c r="D216" s="27" t="str">
        <f t="shared" si="3"/>
        <v>2131205</v>
      </c>
    </row>
    <row r="217" spans="2:4" x14ac:dyDescent="0.4">
      <c r="B217" s="27" t="s">
        <v>36</v>
      </c>
      <c r="C217" s="27" t="s">
        <v>97</v>
      </c>
      <c r="D217" s="27" t="str">
        <f t="shared" si="3"/>
        <v>222601</v>
      </c>
    </row>
    <row r="218" spans="2:4" x14ac:dyDescent="0.4">
      <c r="B218" s="27" t="s">
        <v>110</v>
      </c>
      <c r="C218" s="27" t="s">
        <v>45</v>
      </c>
      <c r="D218" s="27" t="str">
        <f t="shared" si="3"/>
        <v>2161304</v>
      </c>
    </row>
    <row r="219" spans="2:4" x14ac:dyDescent="0.4">
      <c r="B219" s="27" t="s">
        <v>99</v>
      </c>
      <c r="C219" s="27" t="s">
        <v>52</v>
      </c>
      <c r="D219" s="27" t="str">
        <f t="shared" si="3"/>
        <v>205804</v>
      </c>
    </row>
    <row r="220" spans="2:4" x14ac:dyDescent="0.4">
      <c r="B220" s="27" t="s">
        <v>84</v>
      </c>
      <c r="C220" s="27" t="s">
        <v>64</v>
      </c>
      <c r="D220" s="27" t="str">
        <f t="shared" si="3"/>
        <v>206404</v>
      </c>
    </row>
    <row r="221" spans="2:4" x14ac:dyDescent="0.4">
      <c r="B221" s="27" t="s">
        <v>44</v>
      </c>
      <c r="C221" s="27" t="s">
        <v>48</v>
      </c>
      <c r="D221" s="27" t="str">
        <f t="shared" si="3"/>
        <v>215403</v>
      </c>
    </row>
    <row r="222" spans="2:4" x14ac:dyDescent="0.4">
      <c r="B222" s="27" t="s">
        <v>78</v>
      </c>
      <c r="C222" s="27" t="s">
        <v>91</v>
      </c>
      <c r="D222" s="27" t="str">
        <f t="shared" si="3"/>
        <v>219904</v>
      </c>
    </row>
    <row r="223" spans="2:4" x14ac:dyDescent="0.4">
      <c r="B223" s="27" t="s">
        <v>71</v>
      </c>
      <c r="C223" s="27" t="s">
        <v>67</v>
      </c>
      <c r="D223" s="27" t="str">
        <f t="shared" si="3"/>
        <v>227701</v>
      </c>
    </row>
    <row r="224" spans="2:4" x14ac:dyDescent="0.4">
      <c r="B224" s="27" t="s">
        <v>85</v>
      </c>
      <c r="C224" s="27" t="s">
        <v>91</v>
      </c>
      <c r="D224" s="27" t="str">
        <f t="shared" si="3"/>
        <v>221904</v>
      </c>
    </row>
    <row r="225" spans="2:4" x14ac:dyDescent="0.4">
      <c r="B225" s="27" t="s">
        <v>53</v>
      </c>
      <c r="C225" s="27" t="s">
        <v>47</v>
      </c>
      <c r="D225" s="27" t="str">
        <f t="shared" si="3"/>
        <v>2041204</v>
      </c>
    </row>
    <row r="226" spans="2:4" x14ac:dyDescent="0.4">
      <c r="B226" s="27" t="s">
        <v>84</v>
      </c>
      <c r="C226" s="27" t="s">
        <v>75</v>
      </c>
      <c r="D226" s="27" t="str">
        <f t="shared" si="3"/>
        <v>2061302</v>
      </c>
    </row>
    <row r="227" spans="2:4" x14ac:dyDescent="0.4">
      <c r="B227" s="27" t="s">
        <v>73</v>
      </c>
      <c r="C227" s="27" t="s">
        <v>48</v>
      </c>
      <c r="D227" s="27" t="str">
        <f t="shared" si="3"/>
        <v>220403</v>
      </c>
    </row>
    <row r="228" spans="2:4" x14ac:dyDescent="0.4">
      <c r="B228" s="27" t="s">
        <v>71</v>
      </c>
      <c r="C228" s="27" t="s">
        <v>108</v>
      </c>
      <c r="D228" s="27" t="str">
        <f t="shared" si="3"/>
        <v>227702</v>
      </c>
    </row>
    <row r="229" spans="2:4" x14ac:dyDescent="0.4">
      <c r="B229" s="27" t="s">
        <v>36</v>
      </c>
      <c r="C229" s="27" t="s">
        <v>115</v>
      </c>
      <c r="D229" s="27" t="str">
        <f t="shared" si="3"/>
        <v>222802</v>
      </c>
    </row>
    <row r="230" spans="2:4" x14ac:dyDescent="0.4">
      <c r="B230" s="27" t="s">
        <v>80</v>
      </c>
      <c r="C230" s="27" t="s">
        <v>111</v>
      </c>
      <c r="D230" s="27" t="str">
        <f t="shared" si="3"/>
        <v>225602</v>
      </c>
    </row>
    <row r="231" spans="2:4" x14ac:dyDescent="0.4">
      <c r="B231" s="27" t="s">
        <v>26</v>
      </c>
      <c r="C231" s="27" t="s">
        <v>115</v>
      </c>
      <c r="D231" s="27" t="str">
        <f t="shared" si="3"/>
        <v>212802</v>
      </c>
    </row>
    <row r="232" spans="2:4" x14ac:dyDescent="0.4">
      <c r="B232" s="27" t="s">
        <v>83</v>
      </c>
      <c r="C232" s="27" t="s">
        <v>115</v>
      </c>
      <c r="D232" s="27" t="str">
        <f t="shared" si="3"/>
        <v>209802</v>
      </c>
    </row>
    <row r="233" spans="2:4" x14ac:dyDescent="0.4">
      <c r="B233" s="27" t="s">
        <v>44</v>
      </c>
      <c r="C233" s="27" t="s">
        <v>102</v>
      </c>
      <c r="D233" s="27" t="str">
        <f t="shared" si="3"/>
        <v>215103</v>
      </c>
    </row>
    <row r="234" spans="2:4" x14ac:dyDescent="0.4">
      <c r="B234" s="27" t="s">
        <v>34</v>
      </c>
      <c r="C234" s="27" t="s">
        <v>47</v>
      </c>
      <c r="D234" s="27" t="str">
        <f t="shared" si="3"/>
        <v>2031204</v>
      </c>
    </row>
    <row r="235" spans="2:4" x14ac:dyDescent="0.4">
      <c r="B235" s="27" t="s">
        <v>32</v>
      </c>
      <c r="C235" s="27" t="s">
        <v>100</v>
      </c>
      <c r="D235" s="27" t="str">
        <f t="shared" si="3"/>
        <v>224605</v>
      </c>
    </row>
    <row r="236" spans="2:4" x14ac:dyDescent="0.4">
      <c r="B236" s="27" t="s">
        <v>46</v>
      </c>
      <c r="C236" s="27" t="s">
        <v>105</v>
      </c>
      <c r="D236" s="27" t="str">
        <f t="shared" si="3"/>
        <v>217303</v>
      </c>
    </row>
    <row r="237" spans="2:4" x14ac:dyDescent="0.4">
      <c r="B237" s="27" t="s">
        <v>80</v>
      </c>
      <c r="C237" s="27" t="s">
        <v>34</v>
      </c>
      <c r="D237" s="27" t="str">
        <f t="shared" si="3"/>
        <v>225203</v>
      </c>
    </row>
    <row r="238" spans="2:4" x14ac:dyDescent="0.4">
      <c r="B238" s="27" t="s">
        <v>26</v>
      </c>
      <c r="C238" s="27" t="s">
        <v>69</v>
      </c>
      <c r="D238" s="27" t="str">
        <f t="shared" si="3"/>
        <v>212901</v>
      </c>
    </row>
    <row r="239" spans="2:4" x14ac:dyDescent="0.4">
      <c r="B239" s="27" t="s">
        <v>38</v>
      </c>
      <c r="C239" s="27" t="s">
        <v>113</v>
      </c>
      <c r="D239" s="27" t="str">
        <f t="shared" si="3"/>
        <v>2131202</v>
      </c>
    </row>
    <row r="240" spans="2:4" x14ac:dyDescent="0.4">
      <c r="B240" s="27" t="s">
        <v>36</v>
      </c>
      <c r="C240" s="27" t="s">
        <v>116</v>
      </c>
      <c r="D240" s="27" t="str">
        <f t="shared" si="3"/>
        <v>222304</v>
      </c>
    </row>
    <row r="241" spans="2:4" x14ac:dyDescent="0.4">
      <c r="B241" s="27" t="s">
        <v>66</v>
      </c>
      <c r="C241" s="27" t="s">
        <v>52</v>
      </c>
      <c r="D241" s="27" t="str">
        <f t="shared" si="3"/>
        <v>202804</v>
      </c>
    </row>
    <row r="242" spans="2:4" x14ac:dyDescent="0.4">
      <c r="B242" s="27" t="s">
        <v>83</v>
      </c>
      <c r="C242" s="27" t="s">
        <v>27</v>
      </c>
      <c r="D242" s="27" t="str">
        <f t="shared" si="3"/>
        <v>2091101</v>
      </c>
    </row>
    <row r="243" spans="2:4" x14ac:dyDescent="0.4">
      <c r="B243" s="27" t="s">
        <v>99</v>
      </c>
      <c r="C243" s="27" t="s">
        <v>101</v>
      </c>
      <c r="D243" s="27" t="str">
        <f t="shared" si="3"/>
        <v>205301</v>
      </c>
    </row>
    <row r="244" spans="2:4" x14ac:dyDescent="0.4">
      <c r="B244" s="27" t="s">
        <v>28</v>
      </c>
      <c r="C244" s="27" t="s">
        <v>116</v>
      </c>
      <c r="D244" s="27" t="str">
        <f t="shared" si="3"/>
        <v>210304</v>
      </c>
    </row>
    <row r="245" spans="2:4" x14ac:dyDescent="0.4">
      <c r="B245" s="27" t="s">
        <v>40</v>
      </c>
      <c r="C245" s="27" t="s">
        <v>70</v>
      </c>
      <c r="D245" s="27" t="str">
        <f t="shared" si="3"/>
        <v>207801</v>
      </c>
    </row>
    <row r="246" spans="2:4" x14ac:dyDescent="0.4">
      <c r="B246" s="27" t="s">
        <v>78</v>
      </c>
      <c r="C246" s="27" t="s">
        <v>39</v>
      </c>
      <c r="D246" s="27" t="str">
        <f t="shared" si="3"/>
        <v>219501</v>
      </c>
    </row>
    <row r="247" spans="2:4" x14ac:dyDescent="0.4">
      <c r="B247" s="27" t="s">
        <v>109</v>
      </c>
      <c r="C247" s="27" t="s">
        <v>74</v>
      </c>
      <c r="D247" s="27" t="str">
        <f t="shared" si="3"/>
        <v>223705</v>
      </c>
    </row>
    <row r="248" spans="2:4" x14ac:dyDescent="0.4">
      <c r="B248" s="27" t="s">
        <v>109</v>
      </c>
      <c r="C248" s="27" t="s">
        <v>76</v>
      </c>
      <c r="D248" s="27" t="str">
        <f t="shared" si="3"/>
        <v>223805</v>
      </c>
    </row>
    <row r="249" spans="2:4" x14ac:dyDescent="0.4">
      <c r="B249" s="27" t="s">
        <v>66</v>
      </c>
      <c r="C249" s="27" t="s">
        <v>72</v>
      </c>
      <c r="D249" s="27" t="str">
        <f t="shared" si="3"/>
        <v>202401</v>
      </c>
    </row>
    <row r="250" spans="2:4" x14ac:dyDescent="0.4">
      <c r="B250" s="27" t="s">
        <v>32</v>
      </c>
      <c r="C250" s="27" t="s">
        <v>94</v>
      </c>
      <c r="D250" s="27" t="str">
        <f t="shared" si="3"/>
        <v>2241002</v>
      </c>
    </row>
    <row r="251" spans="2:4" x14ac:dyDescent="0.4">
      <c r="B251" s="27" t="s">
        <v>85</v>
      </c>
      <c r="C251" s="27" t="s">
        <v>87</v>
      </c>
      <c r="D251" s="27" t="str">
        <f t="shared" si="3"/>
        <v>221102</v>
      </c>
    </row>
    <row r="252" spans="2:4" x14ac:dyDescent="0.4">
      <c r="B252" s="27" t="s">
        <v>53</v>
      </c>
      <c r="C252" s="27" t="s">
        <v>68</v>
      </c>
      <c r="D252" s="27" t="str">
        <f t="shared" si="3"/>
        <v>204101</v>
      </c>
    </row>
    <row r="253" spans="2:4" x14ac:dyDescent="0.4">
      <c r="B253" s="27" t="s">
        <v>78</v>
      </c>
      <c r="C253" s="27" t="s">
        <v>43</v>
      </c>
      <c r="D253" s="27" t="str">
        <f t="shared" si="3"/>
        <v>219504</v>
      </c>
    </row>
    <row r="254" spans="2:4" x14ac:dyDescent="0.4">
      <c r="B254" s="27" t="s">
        <v>56</v>
      </c>
      <c r="C254" s="27" t="s">
        <v>52</v>
      </c>
      <c r="D254" s="27" t="str">
        <f t="shared" si="3"/>
        <v>226804</v>
      </c>
    </row>
    <row r="255" spans="2:4" x14ac:dyDescent="0.4">
      <c r="B255" s="27" t="s">
        <v>44</v>
      </c>
      <c r="C255" s="27" t="s">
        <v>77</v>
      </c>
      <c r="D255" s="27" t="str">
        <f t="shared" si="3"/>
        <v>215201</v>
      </c>
    </row>
    <row r="256" spans="2:4" x14ac:dyDescent="0.4">
      <c r="B256" s="27" t="s">
        <v>99</v>
      </c>
      <c r="C256" s="27" t="s">
        <v>48</v>
      </c>
      <c r="D256" s="27" t="str">
        <f t="shared" si="3"/>
        <v>205403</v>
      </c>
    </row>
    <row r="257" spans="2:4" x14ac:dyDescent="0.4">
      <c r="B257" s="27" t="s">
        <v>84</v>
      </c>
      <c r="C257" s="27" t="s">
        <v>72</v>
      </c>
      <c r="D257" s="27" t="str">
        <f t="shared" si="3"/>
        <v>206401</v>
      </c>
    </row>
    <row r="258" spans="2:4" x14ac:dyDescent="0.4">
      <c r="B258" s="27" t="s">
        <v>78</v>
      </c>
      <c r="C258" s="27" t="s">
        <v>90</v>
      </c>
      <c r="D258" s="27" t="str">
        <f t="shared" si="3"/>
        <v>219902</v>
      </c>
    </row>
    <row r="259" spans="2:4" x14ac:dyDescent="0.4">
      <c r="B259" s="27" t="s">
        <v>61</v>
      </c>
      <c r="C259" s="27" t="s">
        <v>42</v>
      </c>
      <c r="D259" s="27" t="str">
        <f t="shared" ref="D259:D311" si="4">B259&amp;C259</f>
        <v>2141305</v>
      </c>
    </row>
    <row r="260" spans="2:4" x14ac:dyDescent="0.4">
      <c r="B260" s="27" t="s">
        <v>36</v>
      </c>
      <c r="C260" s="27" t="s">
        <v>88</v>
      </c>
      <c r="D260" s="27" t="str">
        <f t="shared" si="4"/>
        <v>222803</v>
      </c>
    </row>
    <row r="261" spans="2:4" x14ac:dyDescent="0.4">
      <c r="B261" s="27" t="s">
        <v>34</v>
      </c>
      <c r="C261" s="27" t="s">
        <v>79</v>
      </c>
      <c r="D261" s="27" t="str">
        <f t="shared" si="4"/>
        <v>2031102</v>
      </c>
    </row>
    <row r="262" spans="2:4" x14ac:dyDescent="0.4">
      <c r="B262" s="27" t="s">
        <v>53</v>
      </c>
      <c r="C262" s="27" t="s">
        <v>97</v>
      </c>
      <c r="D262" s="27" t="str">
        <f t="shared" si="4"/>
        <v>204601</v>
      </c>
    </row>
    <row r="263" spans="2:4" x14ac:dyDescent="0.4">
      <c r="B263" s="27" t="s">
        <v>84</v>
      </c>
      <c r="C263" s="27" t="s">
        <v>91</v>
      </c>
      <c r="D263" s="27" t="str">
        <f t="shared" si="4"/>
        <v>206904</v>
      </c>
    </row>
    <row r="264" spans="2:4" x14ac:dyDescent="0.4">
      <c r="B264" s="27" t="s">
        <v>61</v>
      </c>
      <c r="C264" s="27" t="s">
        <v>68</v>
      </c>
      <c r="D264" s="27" t="str">
        <f t="shared" si="4"/>
        <v>214101</v>
      </c>
    </row>
    <row r="265" spans="2:4" x14ac:dyDescent="0.4">
      <c r="B265">
        <v>213</v>
      </c>
      <c r="C265">
        <v>404</v>
      </c>
      <c r="D265" s="27" t="str">
        <f t="shared" si="4"/>
        <v>213404</v>
      </c>
    </row>
    <row r="266" spans="2:4" x14ac:dyDescent="0.4">
      <c r="B266" s="27">
        <v>217</v>
      </c>
      <c r="C266" s="27">
        <v>803</v>
      </c>
      <c r="D266" s="27" t="str">
        <f t="shared" si="4"/>
        <v>217803</v>
      </c>
    </row>
    <row r="267" spans="2:4" x14ac:dyDescent="0.4">
      <c r="B267" s="27">
        <v>202</v>
      </c>
      <c r="C267" s="27">
        <v>501</v>
      </c>
      <c r="D267" s="27" t="str">
        <f t="shared" si="4"/>
        <v>202501</v>
      </c>
    </row>
    <row r="268" spans="2:4" x14ac:dyDescent="0.4">
      <c r="B268" s="27">
        <v>222</v>
      </c>
      <c r="C268" s="27">
        <v>1003</v>
      </c>
      <c r="D268" s="27" t="str">
        <f t="shared" si="4"/>
        <v>2221003</v>
      </c>
    </row>
    <row r="269" spans="2:4" x14ac:dyDescent="0.4">
      <c r="B269" s="27">
        <v>204</v>
      </c>
      <c r="C269" s="27">
        <v>1103</v>
      </c>
      <c r="D269" s="27" t="str">
        <f t="shared" si="4"/>
        <v>2041103</v>
      </c>
    </row>
    <row r="270" spans="2:4" x14ac:dyDescent="0.4">
      <c r="B270" s="27">
        <v>214</v>
      </c>
      <c r="C270" s="27">
        <v>1201</v>
      </c>
      <c r="D270" s="27" t="str">
        <f t="shared" si="4"/>
        <v>2141201</v>
      </c>
    </row>
    <row r="271" spans="2:4" x14ac:dyDescent="0.4">
      <c r="B271" s="27">
        <v>214</v>
      </c>
      <c r="C271" s="27">
        <v>703</v>
      </c>
      <c r="D271" s="27" t="str">
        <f t="shared" si="4"/>
        <v>214703</v>
      </c>
    </row>
    <row r="272" spans="2:4" x14ac:dyDescent="0.4">
      <c r="B272" s="27">
        <v>201</v>
      </c>
      <c r="C272" s="27">
        <v>704</v>
      </c>
      <c r="D272" s="27" t="str">
        <f t="shared" si="4"/>
        <v>201704</v>
      </c>
    </row>
    <row r="273" spans="2:4" x14ac:dyDescent="0.4">
      <c r="B273" s="27">
        <v>223</v>
      </c>
      <c r="C273" s="27">
        <v>1205</v>
      </c>
      <c r="D273" s="27" t="str">
        <f t="shared" si="4"/>
        <v>2231205</v>
      </c>
    </row>
    <row r="274" spans="2:4" x14ac:dyDescent="0.4">
      <c r="B274" s="27">
        <v>217</v>
      </c>
      <c r="C274" s="27">
        <v>404</v>
      </c>
      <c r="D274" s="27" t="str">
        <f t="shared" si="4"/>
        <v>217404</v>
      </c>
    </row>
    <row r="275" spans="2:4" x14ac:dyDescent="0.4">
      <c r="B275" s="27">
        <v>208</v>
      </c>
      <c r="C275" s="27">
        <v>1101</v>
      </c>
      <c r="D275" s="27" t="str">
        <f t="shared" si="4"/>
        <v>2081101</v>
      </c>
    </row>
    <row r="276" spans="2:4" x14ac:dyDescent="0.4">
      <c r="B276" s="27">
        <v>221</v>
      </c>
      <c r="C276" s="27">
        <v>604</v>
      </c>
      <c r="D276" s="27" t="str">
        <f t="shared" si="4"/>
        <v>221604</v>
      </c>
    </row>
    <row r="277" spans="2:4" x14ac:dyDescent="0.4">
      <c r="B277" s="27">
        <v>224</v>
      </c>
      <c r="C277" s="27">
        <v>1105</v>
      </c>
      <c r="D277" s="27" t="str">
        <f t="shared" si="4"/>
        <v>2241105</v>
      </c>
    </row>
    <row r="278" spans="2:4" x14ac:dyDescent="0.4">
      <c r="B278" s="27">
        <v>223</v>
      </c>
      <c r="C278" s="27">
        <v>1205</v>
      </c>
      <c r="D278" s="27" t="str">
        <f t="shared" si="4"/>
        <v>2231205</v>
      </c>
    </row>
    <row r="279" spans="2:4" x14ac:dyDescent="0.4">
      <c r="B279" s="27">
        <v>220</v>
      </c>
      <c r="C279" s="27">
        <v>503</v>
      </c>
      <c r="D279" s="27" t="str">
        <f t="shared" si="4"/>
        <v>220503</v>
      </c>
    </row>
    <row r="280" spans="2:4" x14ac:dyDescent="0.4">
      <c r="B280" s="27">
        <v>207</v>
      </c>
      <c r="C280" s="27">
        <v>903</v>
      </c>
      <c r="D280" s="27" t="str">
        <f t="shared" si="4"/>
        <v>207903</v>
      </c>
    </row>
    <row r="281" spans="2:4" x14ac:dyDescent="0.4">
      <c r="B281" s="27">
        <v>224</v>
      </c>
      <c r="C281" s="27">
        <v>1105</v>
      </c>
      <c r="D281" s="27" t="str">
        <f t="shared" si="4"/>
        <v>2241105</v>
      </c>
    </row>
    <row r="282" spans="2:4" x14ac:dyDescent="0.4">
      <c r="B282" s="27">
        <v>203</v>
      </c>
      <c r="C282" s="27">
        <v>703</v>
      </c>
      <c r="D282" s="27" t="str">
        <f t="shared" si="4"/>
        <v>203703</v>
      </c>
    </row>
    <row r="283" spans="2:4" x14ac:dyDescent="0.4">
      <c r="B283" s="27">
        <v>217</v>
      </c>
      <c r="C283" s="27">
        <v>401</v>
      </c>
      <c r="D283" s="27" t="str">
        <f t="shared" si="4"/>
        <v>217401</v>
      </c>
    </row>
    <row r="284" spans="2:4" x14ac:dyDescent="0.4">
      <c r="B284" s="27">
        <v>222</v>
      </c>
      <c r="C284" s="27">
        <v>503</v>
      </c>
      <c r="D284" s="27" t="str">
        <f t="shared" si="4"/>
        <v>222503</v>
      </c>
    </row>
    <row r="285" spans="2:4" x14ac:dyDescent="0.4">
      <c r="B285" s="27">
        <v>210</v>
      </c>
      <c r="C285" s="27">
        <v>802</v>
      </c>
      <c r="D285" s="27" t="str">
        <f t="shared" si="4"/>
        <v>210802</v>
      </c>
    </row>
    <row r="286" spans="2:4" x14ac:dyDescent="0.4">
      <c r="B286" s="27">
        <v>227</v>
      </c>
      <c r="C286" s="27">
        <v>302</v>
      </c>
      <c r="D286" s="27" t="str">
        <f t="shared" si="4"/>
        <v>227302</v>
      </c>
    </row>
    <row r="287" spans="2:4" x14ac:dyDescent="0.4">
      <c r="B287" s="27">
        <v>208</v>
      </c>
      <c r="C287" s="27">
        <v>402</v>
      </c>
      <c r="D287" s="27" t="str">
        <f t="shared" si="4"/>
        <v>208402</v>
      </c>
    </row>
    <row r="288" spans="2:4" x14ac:dyDescent="0.4">
      <c r="B288" s="27">
        <v>225</v>
      </c>
      <c r="C288" s="27">
        <v>1401</v>
      </c>
      <c r="D288" s="27" t="str">
        <f t="shared" si="4"/>
        <v>2251401</v>
      </c>
    </row>
    <row r="289" spans="2:4" x14ac:dyDescent="0.4">
      <c r="B289" s="27">
        <v>226</v>
      </c>
      <c r="C289" s="27">
        <v>1203</v>
      </c>
      <c r="D289" s="27" t="str">
        <f t="shared" si="4"/>
        <v>2261203</v>
      </c>
    </row>
    <row r="290" spans="2:4" x14ac:dyDescent="0.4">
      <c r="B290" s="27">
        <v>219</v>
      </c>
      <c r="C290" s="27">
        <v>1004</v>
      </c>
      <c r="D290" s="27" t="str">
        <f t="shared" si="4"/>
        <v>2191004</v>
      </c>
    </row>
    <row r="291" spans="2:4" x14ac:dyDescent="0.4">
      <c r="B291" s="27">
        <v>213</v>
      </c>
      <c r="C291" s="27">
        <v>801</v>
      </c>
      <c r="D291" s="27" t="str">
        <f t="shared" si="4"/>
        <v>213801</v>
      </c>
    </row>
    <row r="292" spans="2:4" x14ac:dyDescent="0.4">
      <c r="B292" s="27">
        <v>221</v>
      </c>
      <c r="C292" s="27">
        <v>1403</v>
      </c>
      <c r="D292" s="27" t="str">
        <f t="shared" si="4"/>
        <v>2211403</v>
      </c>
    </row>
    <row r="293" spans="2:4" x14ac:dyDescent="0.4">
      <c r="B293" s="27">
        <v>201</v>
      </c>
      <c r="C293" s="27">
        <v>1002</v>
      </c>
      <c r="D293" s="27" t="str">
        <f t="shared" si="4"/>
        <v>2011002</v>
      </c>
    </row>
    <row r="294" spans="2:4" x14ac:dyDescent="0.4">
      <c r="B294" s="27">
        <v>204</v>
      </c>
      <c r="C294" s="27">
        <v>801</v>
      </c>
      <c r="D294" s="27" t="str">
        <f t="shared" si="4"/>
        <v>204801</v>
      </c>
    </row>
    <row r="295" spans="2:4" x14ac:dyDescent="0.4">
      <c r="B295" s="27">
        <v>203</v>
      </c>
      <c r="C295" s="27">
        <v>404</v>
      </c>
      <c r="D295" s="27" t="str">
        <f t="shared" si="4"/>
        <v>203404</v>
      </c>
    </row>
    <row r="296" spans="2:4" x14ac:dyDescent="0.4">
      <c r="B296" s="27">
        <v>203</v>
      </c>
      <c r="C296" s="27">
        <v>104</v>
      </c>
      <c r="D296" s="27" t="str">
        <f t="shared" si="4"/>
        <v>203104</v>
      </c>
    </row>
    <row r="297" spans="2:4" x14ac:dyDescent="0.4">
      <c r="B297" s="27">
        <v>219</v>
      </c>
      <c r="C297" s="27">
        <v>102</v>
      </c>
      <c r="D297" s="27" t="str">
        <f t="shared" si="4"/>
        <v>219102</v>
      </c>
    </row>
    <row r="298" spans="2:4" x14ac:dyDescent="0.4">
      <c r="B298" s="27">
        <v>215</v>
      </c>
      <c r="C298" s="27">
        <v>1101</v>
      </c>
      <c r="D298" s="27" t="str">
        <f t="shared" si="4"/>
        <v>2151101</v>
      </c>
    </row>
    <row r="299" spans="2:4" x14ac:dyDescent="0.4">
      <c r="B299" s="27">
        <v>224</v>
      </c>
      <c r="C299" s="27">
        <v>1303</v>
      </c>
      <c r="D299" s="27" t="str">
        <f t="shared" si="4"/>
        <v>2241303</v>
      </c>
    </row>
    <row r="300" spans="2:4" x14ac:dyDescent="0.4">
      <c r="B300" s="27">
        <v>225</v>
      </c>
      <c r="C300" s="27">
        <v>1204</v>
      </c>
      <c r="D300" s="27" t="str">
        <f t="shared" si="4"/>
        <v>2251204</v>
      </c>
    </row>
    <row r="301" spans="2:4" x14ac:dyDescent="0.4">
      <c r="B301" s="27">
        <v>209</v>
      </c>
      <c r="C301" s="27">
        <v>501</v>
      </c>
      <c r="D301" s="27" t="str">
        <f t="shared" si="4"/>
        <v>209501</v>
      </c>
    </row>
    <row r="302" spans="2:4" x14ac:dyDescent="0.4">
      <c r="B302" s="27">
        <v>222</v>
      </c>
      <c r="C302" s="27">
        <v>1201</v>
      </c>
      <c r="D302" s="27" t="str">
        <f t="shared" si="4"/>
        <v>2221201</v>
      </c>
    </row>
    <row r="303" spans="2:4" x14ac:dyDescent="0.4">
      <c r="B303" s="27">
        <v>224</v>
      </c>
      <c r="C303" s="27">
        <v>601</v>
      </c>
      <c r="D303" s="27" t="str">
        <f t="shared" si="4"/>
        <v>224601</v>
      </c>
    </row>
    <row r="304" spans="2:4" x14ac:dyDescent="0.4">
      <c r="B304" s="27">
        <v>201</v>
      </c>
      <c r="C304" s="27">
        <v>1003</v>
      </c>
      <c r="D304" s="27" t="str">
        <f t="shared" si="4"/>
        <v>2011003</v>
      </c>
    </row>
    <row r="305" spans="2:4" x14ac:dyDescent="0.4">
      <c r="B305" s="27">
        <v>220</v>
      </c>
      <c r="C305" s="27">
        <v>203</v>
      </c>
      <c r="D305" s="27" t="str">
        <f t="shared" si="4"/>
        <v>220203</v>
      </c>
    </row>
    <row r="306" spans="2:4" x14ac:dyDescent="0.4">
      <c r="B306" s="27">
        <v>218</v>
      </c>
      <c r="C306" s="27">
        <v>604</v>
      </c>
      <c r="D306" s="27" t="str">
        <f t="shared" si="4"/>
        <v>218604</v>
      </c>
    </row>
    <row r="307" spans="2:4" x14ac:dyDescent="0.4">
      <c r="B307" s="27">
        <v>223</v>
      </c>
      <c r="C307" s="27">
        <v>203</v>
      </c>
      <c r="D307" s="27" t="str">
        <f t="shared" si="4"/>
        <v>223203</v>
      </c>
    </row>
    <row r="308" spans="2:4" x14ac:dyDescent="0.4">
      <c r="B308" s="27">
        <v>217</v>
      </c>
      <c r="C308" s="27">
        <v>103</v>
      </c>
      <c r="D308" s="27" t="str">
        <f t="shared" si="4"/>
        <v>217103</v>
      </c>
    </row>
    <row r="309" spans="2:4" x14ac:dyDescent="0.4">
      <c r="B309" s="27">
        <v>201</v>
      </c>
      <c r="C309" s="27">
        <v>702</v>
      </c>
      <c r="D309" s="27" t="str">
        <f t="shared" si="4"/>
        <v>201702</v>
      </c>
    </row>
    <row r="310" spans="2:4" x14ac:dyDescent="0.4">
      <c r="B310" s="27">
        <v>208</v>
      </c>
      <c r="C310" s="27">
        <v>803</v>
      </c>
      <c r="D310" s="27" t="str">
        <f t="shared" si="4"/>
        <v>208803</v>
      </c>
    </row>
    <row r="311" spans="2:4" x14ac:dyDescent="0.4">
      <c r="B311" s="27">
        <v>219</v>
      </c>
      <c r="C311" s="27">
        <v>203</v>
      </c>
      <c r="D311" s="27" t="str">
        <f t="shared" si="4"/>
        <v>219203</v>
      </c>
    </row>
  </sheetData>
  <autoFilter ref="A1:D265" xr:uid="{00000000-0009-0000-0000-000003000000}"/>
  <sortState xmlns:xlrd2="http://schemas.microsoft.com/office/spreadsheetml/2017/richdata2" ref="B2:C319">
    <sortCondition ref="B2:B319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72"/>
  <sheetViews>
    <sheetView topLeftCell="H1" zoomScale="85" zoomScaleNormal="85" workbookViewId="0">
      <selection activeCell="K6" sqref="K6"/>
    </sheetView>
  </sheetViews>
  <sheetFormatPr defaultColWidth="9" defaultRowHeight="17.399999999999999" x14ac:dyDescent="0.4"/>
  <sheetData>
    <row r="1" spans="1:15" x14ac:dyDescent="0.4">
      <c r="B1">
        <f>SUBTOTAL(2,B3:B1472)</f>
        <v>1470</v>
      </c>
    </row>
    <row r="2" spans="1:15" x14ac:dyDescent="0.4">
      <c r="A2" s="1" t="s">
        <v>13</v>
      </c>
      <c r="B2" s="1" t="s">
        <v>14</v>
      </c>
      <c r="J2" s="1"/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</row>
    <row r="3" spans="1:15" ht="16.5" customHeight="1" x14ac:dyDescent="0.4">
      <c r="A3">
        <v>201</v>
      </c>
      <c r="B3" s="30">
        <v>103</v>
      </c>
      <c r="C3" t="str">
        <f>RIGHT(B3,1)&amp;"호"</f>
        <v>3호</v>
      </c>
      <c r="D3" t="str">
        <f>LEFT(B3,1)</f>
        <v>1</v>
      </c>
      <c r="E3" t="str">
        <f>A3&amp;C3&amp;D3</f>
        <v>2013호1</v>
      </c>
      <c r="J3" s="1">
        <v>201</v>
      </c>
      <c r="K3" s="34" t="s">
        <v>20</v>
      </c>
      <c r="L3" s="1" t="s">
        <v>21</v>
      </c>
      <c r="M3" s="1" t="s">
        <v>21</v>
      </c>
      <c r="N3" s="34" t="s">
        <v>20</v>
      </c>
      <c r="O3" s="1"/>
    </row>
    <row r="4" spans="1:15" ht="16.5" customHeight="1" x14ac:dyDescent="0.4">
      <c r="A4">
        <v>201</v>
      </c>
      <c r="B4" s="9">
        <v>104</v>
      </c>
      <c r="C4" t="str">
        <f t="shared" ref="C4:C67" si="0">RIGHT(B4,1)&amp;"호"</f>
        <v>4호</v>
      </c>
      <c r="D4" t="str">
        <f t="shared" ref="D4:D34" si="1">LEFT(B4,1)</f>
        <v>1</v>
      </c>
      <c r="E4" t="str">
        <f t="shared" ref="E4:E67" si="2">A4&amp;C4&amp;D4</f>
        <v>2014호1</v>
      </c>
      <c r="J4" s="1">
        <v>202</v>
      </c>
      <c r="K4" s="34" t="s">
        <v>20</v>
      </c>
      <c r="L4" s="1" t="s">
        <v>21</v>
      </c>
      <c r="M4" s="1" t="s">
        <v>21</v>
      </c>
      <c r="N4" s="34" t="s">
        <v>20</v>
      </c>
      <c r="O4" s="1"/>
    </row>
    <row r="5" spans="1:15" ht="16.5" customHeight="1" x14ac:dyDescent="0.4">
      <c r="A5">
        <v>201</v>
      </c>
      <c r="B5" s="9">
        <v>203</v>
      </c>
      <c r="C5" t="str">
        <f t="shared" si="0"/>
        <v>3호</v>
      </c>
      <c r="D5" t="str">
        <f t="shared" si="1"/>
        <v>2</v>
      </c>
      <c r="E5" t="str">
        <f t="shared" si="2"/>
        <v>2013호2</v>
      </c>
      <c r="J5" s="1">
        <v>203</v>
      </c>
      <c r="K5" s="34" t="s">
        <v>20</v>
      </c>
      <c r="L5" s="1" t="s">
        <v>21</v>
      </c>
      <c r="M5" s="1" t="s">
        <v>21</v>
      </c>
      <c r="N5" s="34" t="s">
        <v>20</v>
      </c>
      <c r="O5" s="1"/>
    </row>
    <row r="6" spans="1:15" ht="16.5" customHeight="1" x14ac:dyDescent="0.4">
      <c r="A6">
        <v>201</v>
      </c>
      <c r="B6" s="9">
        <v>204</v>
      </c>
      <c r="C6" t="str">
        <f t="shared" si="0"/>
        <v>4호</v>
      </c>
      <c r="D6" t="str">
        <f t="shared" si="1"/>
        <v>2</v>
      </c>
      <c r="E6" t="str">
        <f t="shared" si="2"/>
        <v>2014호2</v>
      </c>
      <c r="J6" s="1">
        <v>204</v>
      </c>
      <c r="K6" s="34" t="s">
        <v>20</v>
      </c>
      <c r="L6" s="1" t="s">
        <v>21</v>
      </c>
      <c r="M6" s="1" t="s">
        <v>21</v>
      </c>
      <c r="N6" s="34" t="s">
        <v>20</v>
      </c>
      <c r="O6" s="1"/>
    </row>
    <row r="7" spans="1:15" ht="16.5" customHeight="1" x14ac:dyDescent="0.4">
      <c r="A7">
        <v>201</v>
      </c>
      <c r="B7" s="9">
        <v>301</v>
      </c>
      <c r="C7" t="str">
        <f t="shared" si="0"/>
        <v>1호</v>
      </c>
      <c r="D7" t="str">
        <f t="shared" si="1"/>
        <v>3</v>
      </c>
      <c r="E7" t="str">
        <f t="shared" si="2"/>
        <v>2011호3</v>
      </c>
      <c r="J7" s="1">
        <v>205</v>
      </c>
      <c r="K7" s="34" t="s">
        <v>20</v>
      </c>
      <c r="L7" s="1" t="s">
        <v>21</v>
      </c>
      <c r="M7" s="1" t="s">
        <v>21</v>
      </c>
      <c r="N7" s="34" t="s">
        <v>20</v>
      </c>
      <c r="O7" s="1"/>
    </row>
    <row r="8" spans="1:15" ht="16.5" customHeight="1" x14ac:dyDescent="0.4">
      <c r="A8">
        <v>201</v>
      </c>
      <c r="B8" s="9">
        <v>302</v>
      </c>
      <c r="C8" t="str">
        <f t="shared" si="0"/>
        <v>2호</v>
      </c>
      <c r="D8" t="str">
        <f t="shared" si="1"/>
        <v>3</v>
      </c>
      <c r="E8" t="str">
        <f t="shared" si="2"/>
        <v>2012호3</v>
      </c>
      <c r="J8" s="1">
        <v>206</v>
      </c>
      <c r="K8" s="34" t="s">
        <v>20</v>
      </c>
      <c r="L8" s="1" t="s">
        <v>21</v>
      </c>
      <c r="M8" s="1" t="s">
        <v>21</v>
      </c>
      <c r="N8" s="34" t="s">
        <v>20</v>
      </c>
      <c r="O8" s="1"/>
    </row>
    <row r="9" spans="1:15" ht="16.5" customHeight="1" x14ac:dyDescent="0.4">
      <c r="A9">
        <v>201</v>
      </c>
      <c r="B9" s="9">
        <v>303</v>
      </c>
      <c r="C9" t="str">
        <f t="shared" si="0"/>
        <v>3호</v>
      </c>
      <c r="D9" t="str">
        <f t="shared" si="1"/>
        <v>3</v>
      </c>
      <c r="E9" t="str">
        <f t="shared" si="2"/>
        <v>2013호3</v>
      </c>
      <c r="J9" s="1">
        <v>207</v>
      </c>
      <c r="K9" s="34" t="s">
        <v>22</v>
      </c>
      <c r="L9" s="1" t="s">
        <v>23</v>
      </c>
      <c r="M9" s="34" t="s">
        <v>22</v>
      </c>
      <c r="N9" s="1"/>
      <c r="O9" s="1"/>
    </row>
    <row r="10" spans="1:15" ht="16.5" customHeight="1" x14ac:dyDescent="0.4">
      <c r="A10">
        <v>201</v>
      </c>
      <c r="B10" s="9">
        <v>304</v>
      </c>
      <c r="C10" t="str">
        <f t="shared" si="0"/>
        <v>4호</v>
      </c>
      <c r="D10" t="str">
        <f t="shared" si="1"/>
        <v>3</v>
      </c>
      <c r="E10" t="str">
        <f t="shared" si="2"/>
        <v>2014호3</v>
      </c>
      <c r="J10" s="1">
        <v>208</v>
      </c>
      <c r="K10" s="34" t="s">
        <v>22</v>
      </c>
      <c r="L10" s="1" t="s">
        <v>23</v>
      </c>
      <c r="M10" s="34" t="s">
        <v>22</v>
      </c>
      <c r="N10" s="1"/>
      <c r="O10" s="1"/>
    </row>
    <row r="11" spans="1:15" ht="16.5" customHeight="1" x14ac:dyDescent="0.4">
      <c r="A11">
        <v>201</v>
      </c>
      <c r="B11" s="9">
        <v>401</v>
      </c>
      <c r="C11" t="str">
        <f t="shared" si="0"/>
        <v>1호</v>
      </c>
      <c r="D11" t="str">
        <f t="shared" si="1"/>
        <v>4</v>
      </c>
      <c r="E11" t="str">
        <f t="shared" si="2"/>
        <v>2011호4</v>
      </c>
      <c r="J11" s="1">
        <v>209</v>
      </c>
      <c r="K11" s="34" t="s">
        <v>20</v>
      </c>
      <c r="L11" s="1" t="s">
        <v>21</v>
      </c>
      <c r="M11" s="34" t="s">
        <v>20</v>
      </c>
      <c r="N11" s="1"/>
      <c r="O11" s="1"/>
    </row>
    <row r="12" spans="1:15" ht="16.5" customHeight="1" x14ac:dyDescent="0.4">
      <c r="A12">
        <v>201</v>
      </c>
      <c r="B12" s="9">
        <v>402</v>
      </c>
      <c r="C12" t="str">
        <f t="shared" si="0"/>
        <v>2호</v>
      </c>
      <c r="D12" t="str">
        <f t="shared" si="1"/>
        <v>4</v>
      </c>
      <c r="E12" t="str">
        <f t="shared" si="2"/>
        <v>2012호4</v>
      </c>
      <c r="J12" s="1">
        <v>210</v>
      </c>
      <c r="K12" s="34" t="s">
        <v>22</v>
      </c>
      <c r="L12" s="1" t="s">
        <v>23</v>
      </c>
      <c r="M12" s="1" t="s">
        <v>23</v>
      </c>
      <c r="N12" s="34" t="s">
        <v>22</v>
      </c>
      <c r="O12" s="1"/>
    </row>
    <row r="13" spans="1:15" ht="16.5" customHeight="1" x14ac:dyDescent="0.4">
      <c r="A13">
        <v>201</v>
      </c>
      <c r="B13" s="9">
        <v>403</v>
      </c>
      <c r="C13" t="str">
        <f t="shared" si="0"/>
        <v>3호</v>
      </c>
      <c r="D13" t="str">
        <f t="shared" si="1"/>
        <v>4</v>
      </c>
      <c r="E13" t="str">
        <f t="shared" si="2"/>
        <v>2013호4</v>
      </c>
      <c r="J13" s="1">
        <v>211</v>
      </c>
      <c r="K13" s="34" t="s">
        <v>22</v>
      </c>
      <c r="L13" s="1" t="s">
        <v>23</v>
      </c>
      <c r="M13" s="1" t="s">
        <v>23</v>
      </c>
      <c r="N13" s="34" t="s">
        <v>22</v>
      </c>
      <c r="O13" s="1"/>
    </row>
    <row r="14" spans="1:15" ht="16.5" customHeight="1" x14ac:dyDescent="0.4">
      <c r="A14">
        <v>201</v>
      </c>
      <c r="B14" s="9">
        <v>404</v>
      </c>
      <c r="C14" t="str">
        <f t="shared" si="0"/>
        <v>4호</v>
      </c>
      <c r="D14" t="str">
        <f t="shared" si="1"/>
        <v>4</v>
      </c>
      <c r="E14" t="str">
        <f t="shared" si="2"/>
        <v>2014호4</v>
      </c>
      <c r="J14" s="1">
        <v>212</v>
      </c>
      <c r="K14" s="34" t="s">
        <v>22</v>
      </c>
      <c r="L14" s="1" t="s">
        <v>23</v>
      </c>
      <c r="M14" s="1" t="s">
        <v>23</v>
      </c>
      <c r="N14" s="34" t="s">
        <v>22</v>
      </c>
      <c r="O14" s="1"/>
    </row>
    <row r="15" spans="1:15" ht="16.5" customHeight="1" x14ac:dyDescent="0.4">
      <c r="A15">
        <v>201</v>
      </c>
      <c r="B15" s="11">
        <v>501</v>
      </c>
      <c r="C15" t="str">
        <f t="shared" si="0"/>
        <v>1호</v>
      </c>
      <c r="D15" t="str">
        <f t="shared" si="1"/>
        <v>5</v>
      </c>
      <c r="E15" t="str">
        <f t="shared" si="2"/>
        <v>2011호5</v>
      </c>
      <c r="J15" s="1">
        <v>213</v>
      </c>
      <c r="K15" s="34" t="s">
        <v>22</v>
      </c>
      <c r="L15" s="34" t="s">
        <v>22</v>
      </c>
      <c r="M15" s="1" t="s">
        <v>23</v>
      </c>
      <c r="N15" s="1" t="s">
        <v>23</v>
      </c>
      <c r="O15" s="34" t="s">
        <v>22</v>
      </c>
    </row>
    <row r="16" spans="1:15" ht="16.5" customHeight="1" x14ac:dyDescent="0.4">
      <c r="A16">
        <v>201</v>
      </c>
      <c r="B16" s="11">
        <v>502</v>
      </c>
      <c r="C16" t="str">
        <f t="shared" si="0"/>
        <v>2호</v>
      </c>
      <c r="D16" t="str">
        <f t="shared" si="1"/>
        <v>5</v>
      </c>
      <c r="E16" t="str">
        <f t="shared" si="2"/>
        <v>2012호5</v>
      </c>
      <c r="J16" s="1">
        <v>214</v>
      </c>
      <c r="K16" s="34" t="s">
        <v>24</v>
      </c>
      <c r="L16" s="1" t="s">
        <v>25</v>
      </c>
      <c r="M16" s="1" t="s">
        <v>25</v>
      </c>
      <c r="N16" s="34" t="s">
        <v>24</v>
      </c>
      <c r="O16" s="34" t="s">
        <v>24</v>
      </c>
    </row>
    <row r="17" spans="1:15" ht="16.5" customHeight="1" x14ac:dyDescent="0.4">
      <c r="A17">
        <v>201</v>
      </c>
      <c r="B17" s="11">
        <v>503</v>
      </c>
      <c r="C17" t="str">
        <f t="shared" si="0"/>
        <v>3호</v>
      </c>
      <c r="D17" t="str">
        <f t="shared" si="1"/>
        <v>5</v>
      </c>
      <c r="E17" t="str">
        <f t="shared" si="2"/>
        <v>2013호5</v>
      </c>
      <c r="J17" s="1">
        <v>215</v>
      </c>
      <c r="K17" s="34" t="s">
        <v>24</v>
      </c>
      <c r="L17" s="1" t="s">
        <v>25</v>
      </c>
      <c r="M17" s="1" t="s">
        <v>25</v>
      </c>
      <c r="N17" s="34" t="s">
        <v>24</v>
      </c>
      <c r="O17" s="34" t="s">
        <v>24</v>
      </c>
    </row>
    <row r="18" spans="1:15" ht="16.5" customHeight="1" x14ac:dyDescent="0.4">
      <c r="A18">
        <v>201</v>
      </c>
      <c r="B18" s="11">
        <v>504</v>
      </c>
      <c r="C18" t="str">
        <f t="shared" si="0"/>
        <v>4호</v>
      </c>
      <c r="D18" t="str">
        <f t="shared" si="1"/>
        <v>5</v>
      </c>
      <c r="E18" t="str">
        <f t="shared" si="2"/>
        <v>2014호5</v>
      </c>
      <c r="J18" s="1">
        <v>216</v>
      </c>
      <c r="K18" s="34" t="s">
        <v>24</v>
      </c>
      <c r="L18" s="34" t="s">
        <v>24</v>
      </c>
      <c r="M18" s="1" t="s">
        <v>25</v>
      </c>
      <c r="N18" s="1" t="s">
        <v>25</v>
      </c>
      <c r="O18" s="34" t="s">
        <v>24</v>
      </c>
    </row>
    <row r="19" spans="1:15" ht="16.5" customHeight="1" x14ac:dyDescent="0.4">
      <c r="A19">
        <v>201</v>
      </c>
      <c r="B19" s="11">
        <v>601</v>
      </c>
      <c r="C19" t="str">
        <f t="shared" si="0"/>
        <v>1호</v>
      </c>
      <c r="D19" t="str">
        <f t="shared" si="1"/>
        <v>6</v>
      </c>
      <c r="E19" t="str">
        <f t="shared" si="2"/>
        <v>2011호6</v>
      </c>
      <c r="J19" s="1">
        <v>217</v>
      </c>
      <c r="K19" s="34" t="s">
        <v>24</v>
      </c>
      <c r="L19" s="1" t="s">
        <v>25</v>
      </c>
      <c r="M19" s="1" t="s">
        <v>25</v>
      </c>
      <c r="N19" s="34" t="s">
        <v>24</v>
      </c>
      <c r="O19" s="1"/>
    </row>
    <row r="20" spans="1:15" ht="16.5" customHeight="1" x14ac:dyDescent="0.4">
      <c r="A20">
        <v>201</v>
      </c>
      <c r="B20" s="11">
        <v>602</v>
      </c>
      <c r="C20" t="str">
        <f t="shared" si="0"/>
        <v>2호</v>
      </c>
      <c r="D20" t="str">
        <f t="shared" si="1"/>
        <v>6</v>
      </c>
      <c r="E20" t="str">
        <f t="shared" si="2"/>
        <v>2012호6</v>
      </c>
      <c r="J20" s="1">
        <v>218</v>
      </c>
      <c r="K20" s="34" t="s">
        <v>24</v>
      </c>
      <c r="L20" s="1" t="s">
        <v>25</v>
      </c>
      <c r="M20" s="1" t="s">
        <v>25</v>
      </c>
      <c r="N20" s="34" t="s">
        <v>24</v>
      </c>
      <c r="O20" s="1"/>
    </row>
    <row r="21" spans="1:15" ht="16.5" customHeight="1" x14ac:dyDescent="0.4">
      <c r="A21">
        <v>201</v>
      </c>
      <c r="B21" s="11">
        <v>603</v>
      </c>
      <c r="C21" t="str">
        <f t="shared" si="0"/>
        <v>3호</v>
      </c>
      <c r="D21" t="str">
        <f t="shared" si="1"/>
        <v>6</v>
      </c>
      <c r="E21" t="str">
        <f t="shared" si="2"/>
        <v>2013호6</v>
      </c>
      <c r="J21" s="1">
        <v>219</v>
      </c>
      <c r="K21" s="34" t="s">
        <v>24</v>
      </c>
      <c r="L21" s="34" t="s">
        <v>24</v>
      </c>
      <c r="M21" s="1" t="s">
        <v>25</v>
      </c>
      <c r="N21" s="1" t="s">
        <v>25</v>
      </c>
      <c r="O21" s="34" t="s">
        <v>24</v>
      </c>
    </row>
    <row r="22" spans="1:15" ht="16.5" customHeight="1" x14ac:dyDescent="0.4">
      <c r="A22">
        <v>201</v>
      </c>
      <c r="B22" s="11">
        <v>604</v>
      </c>
      <c r="C22" t="str">
        <f t="shared" si="0"/>
        <v>4호</v>
      </c>
      <c r="D22" t="str">
        <f t="shared" si="1"/>
        <v>6</v>
      </c>
      <c r="E22" t="str">
        <f t="shared" si="2"/>
        <v>2014호6</v>
      </c>
      <c r="J22" s="1">
        <v>220</v>
      </c>
      <c r="K22" s="34" t="s">
        <v>24</v>
      </c>
      <c r="L22" s="34" t="s">
        <v>24</v>
      </c>
      <c r="M22" s="1" t="s">
        <v>25</v>
      </c>
      <c r="N22" s="1" t="s">
        <v>25</v>
      </c>
      <c r="O22" s="34" t="s">
        <v>24</v>
      </c>
    </row>
    <row r="23" spans="1:15" ht="16.5" customHeight="1" x14ac:dyDescent="0.4">
      <c r="A23">
        <v>201</v>
      </c>
      <c r="B23" s="11">
        <v>701</v>
      </c>
      <c r="C23" t="str">
        <f t="shared" si="0"/>
        <v>1호</v>
      </c>
      <c r="D23" t="str">
        <f t="shared" si="1"/>
        <v>7</v>
      </c>
      <c r="E23" t="str">
        <f t="shared" si="2"/>
        <v>2011호7</v>
      </c>
      <c r="J23" s="1">
        <v>221</v>
      </c>
      <c r="K23" s="34" t="s">
        <v>24</v>
      </c>
      <c r="L23" s="34" t="s">
        <v>24</v>
      </c>
      <c r="M23" s="1" t="s">
        <v>25</v>
      </c>
      <c r="N23" s="1" t="s">
        <v>25</v>
      </c>
      <c r="O23" s="1"/>
    </row>
    <row r="24" spans="1:15" ht="16.5" customHeight="1" x14ac:dyDescent="0.4">
      <c r="A24">
        <v>201</v>
      </c>
      <c r="B24" s="11">
        <v>702</v>
      </c>
      <c r="C24" t="str">
        <f t="shared" si="0"/>
        <v>2호</v>
      </c>
      <c r="D24" t="str">
        <f t="shared" si="1"/>
        <v>7</v>
      </c>
      <c r="E24" t="str">
        <f t="shared" si="2"/>
        <v>2012호7</v>
      </c>
      <c r="J24" s="1">
        <v>222</v>
      </c>
      <c r="K24" s="34" t="s">
        <v>24</v>
      </c>
      <c r="L24" s="34" t="s">
        <v>24</v>
      </c>
      <c r="M24" s="1" t="s">
        <v>25</v>
      </c>
      <c r="N24" s="1" t="s">
        <v>25</v>
      </c>
      <c r="O24" s="1"/>
    </row>
    <row r="25" spans="1:15" ht="16.5" customHeight="1" x14ac:dyDescent="0.4">
      <c r="A25">
        <v>201</v>
      </c>
      <c r="B25" s="11">
        <v>703</v>
      </c>
      <c r="C25" t="str">
        <f t="shared" si="0"/>
        <v>3호</v>
      </c>
      <c r="D25" t="str">
        <f t="shared" si="1"/>
        <v>7</v>
      </c>
      <c r="E25" t="str">
        <f t="shared" si="2"/>
        <v>2013호7</v>
      </c>
      <c r="J25" s="1">
        <v>223</v>
      </c>
      <c r="K25" s="34" t="s">
        <v>24</v>
      </c>
      <c r="L25" s="34" t="s">
        <v>24</v>
      </c>
      <c r="M25" s="1" t="s">
        <v>25</v>
      </c>
      <c r="N25" s="1" t="s">
        <v>25</v>
      </c>
      <c r="O25" s="34" t="s">
        <v>24</v>
      </c>
    </row>
    <row r="26" spans="1:15" ht="16.5" customHeight="1" x14ac:dyDescent="0.4">
      <c r="A26">
        <v>201</v>
      </c>
      <c r="B26" s="11">
        <v>704</v>
      </c>
      <c r="C26" t="str">
        <f t="shared" si="0"/>
        <v>4호</v>
      </c>
      <c r="D26" t="str">
        <f t="shared" si="1"/>
        <v>7</v>
      </c>
      <c r="E26" t="str">
        <f t="shared" si="2"/>
        <v>2014호7</v>
      </c>
      <c r="J26" s="1">
        <v>224</v>
      </c>
      <c r="K26" s="34" t="s">
        <v>24</v>
      </c>
      <c r="L26" s="34" t="s">
        <v>24</v>
      </c>
      <c r="M26" s="1" t="s">
        <v>25</v>
      </c>
      <c r="N26" s="1" t="s">
        <v>25</v>
      </c>
      <c r="O26" s="34" t="s">
        <v>24</v>
      </c>
    </row>
    <row r="27" spans="1:15" ht="16.5" customHeight="1" x14ac:dyDescent="0.4">
      <c r="A27">
        <v>201</v>
      </c>
      <c r="B27" s="24">
        <v>801</v>
      </c>
      <c r="C27" t="str">
        <f t="shared" si="0"/>
        <v>1호</v>
      </c>
      <c r="D27" t="str">
        <f t="shared" si="1"/>
        <v>8</v>
      </c>
      <c r="E27" t="str">
        <f t="shared" si="2"/>
        <v>2011호8</v>
      </c>
      <c r="J27" s="1">
        <v>225</v>
      </c>
      <c r="K27" s="34" t="s">
        <v>24</v>
      </c>
      <c r="L27" s="1" t="s">
        <v>25</v>
      </c>
      <c r="M27" s="1" t="s">
        <v>25</v>
      </c>
      <c r="N27" s="34" t="s">
        <v>24</v>
      </c>
      <c r="O27" s="1"/>
    </row>
    <row r="28" spans="1:15" ht="16.5" customHeight="1" x14ac:dyDescent="0.4">
      <c r="A28">
        <v>201</v>
      </c>
      <c r="B28" s="11">
        <v>802</v>
      </c>
      <c r="C28" t="str">
        <f t="shared" si="0"/>
        <v>2호</v>
      </c>
      <c r="D28" t="str">
        <f t="shared" si="1"/>
        <v>8</v>
      </c>
      <c r="E28" t="str">
        <f t="shared" si="2"/>
        <v>2012호8</v>
      </c>
      <c r="J28" s="1">
        <v>226</v>
      </c>
      <c r="K28" s="34" t="s">
        <v>24</v>
      </c>
      <c r="L28" s="34" t="s">
        <v>24</v>
      </c>
      <c r="M28" s="1" t="s">
        <v>25</v>
      </c>
      <c r="N28" s="1" t="s">
        <v>25</v>
      </c>
      <c r="O28" s="34" t="s">
        <v>24</v>
      </c>
    </row>
    <row r="29" spans="1:15" ht="16.5" customHeight="1" x14ac:dyDescent="0.4">
      <c r="A29">
        <v>201</v>
      </c>
      <c r="B29" s="11">
        <v>803</v>
      </c>
      <c r="C29" t="str">
        <f t="shared" si="0"/>
        <v>3호</v>
      </c>
      <c r="D29" t="str">
        <f t="shared" si="1"/>
        <v>8</v>
      </c>
      <c r="E29" t="str">
        <f t="shared" si="2"/>
        <v>2013호8</v>
      </c>
      <c r="J29" s="1">
        <v>227</v>
      </c>
      <c r="K29" s="34" t="s">
        <v>24</v>
      </c>
      <c r="L29" s="34" t="s">
        <v>24</v>
      </c>
      <c r="M29" s="1"/>
      <c r="N29" s="1"/>
      <c r="O29" s="1"/>
    </row>
    <row r="30" spans="1:15" ht="16.5" customHeight="1" x14ac:dyDescent="0.4">
      <c r="A30">
        <v>201</v>
      </c>
      <c r="B30" s="11">
        <v>804</v>
      </c>
      <c r="C30" t="str">
        <f t="shared" si="0"/>
        <v>4호</v>
      </c>
      <c r="D30" t="str">
        <f t="shared" si="1"/>
        <v>8</v>
      </c>
      <c r="E30" t="str">
        <f t="shared" si="2"/>
        <v>2014호8</v>
      </c>
    </row>
    <row r="31" spans="1:15" ht="16.5" customHeight="1" x14ac:dyDescent="0.4">
      <c r="A31">
        <v>201</v>
      </c>
      <c r="B31" s="11">
        <v>901</v>
      </c>
      <c r="C31" t="str">
        <f t="shared" si="0"/>
        <v>1호</v>
      </c>
      <c r="D31" t="str">
        <f t="shared" si="1"/>
        <v>9</v>
      </c>
      <c r="E31" t="str">
        <f t="shared" si="2"/>
        <v>2011호9</v>
      </c>
    </row>
    <row r="32" spans="1:15" ht="16.5" customHeight="1" x14ac:dyDescent="0.4">
      <c r="A32">
        <v>201</v>
      </c>
      <c r="B32" s="11">
        <v>902</v>
      </c>
      <c r="C32" t="str">
        <f t="shared" si="0"/>
        <v>2호</v>
      </c>
      <c r="D32" t="str">
        <f t="shared" si="1"/>
        <v>9</v>
      </c>
      <c r="E32" t="str">
        <f t="shared" si="2"/>
        <v>2012호9</v>
      </c>
      <c r="J32" s="35" t="s">
        <v>22</v>
      </c>
      <c r="K32">
        <v>165</v>
      </c>
    </row>
    <row r="33" spans="1:11" ht="16.5" customHeight="1" x14ac:dyDescent="0.4">
      <c r="A33">
        <v>201</v>
      </c>
      <c r="B33" s="11">
        <v>903</v>
      </c>
      <c r="C33" t="str">
        <f t="shared" si="0"/>
        <v>3호</v>
      </c>
      <c r="D33" t="str">
        <f t="shared" si="1"/>
        <v>9</v>
      </c>
      <c r="E33" t="str">
        <f t="shared" si="2"/>
        <v>2013호9</v>
      </c>
      <c r="J33" t="s">
        <v>23</v>
      </c>
      <c r="K33">
        <v>124</v>
      </c>
    </row>
    <row r="34" spans="1:11" ht="16.5" customHeight="1" x14ac:dyDescent="0.4">
      <c r="A34">
        <v>201</v>
      </c>
      <c r="B34" s="11">
        <v>904</v>
      </c>
      <c r="C34" t="str">
        <f t="shared" si="0"/>
        <v>4호</v>
      </c>
      <c r="D34" t="str">
        <f t="shared" si="1"/>
        <v>9</v>
      </c>
      <c r="E34" t="str">
        <f t="shared" si="2"/>
        <v>2014호9</v>
      </c>
      <c r="J34" s="35" t="s">
        <v>24</v>
      </c>
      <c r="K34">
        <v>455</v>
      </c>
    </row>
    <row r="35" spans="1:11" ht="16.5" customHeight="1" x14ac:dyDescent="0.4">
      <c r="A35">
        <v>201</v>
      </c>
      <c r="B35" s="11">
        <v>1001</v>
      </c>
      <c r="C35" t="str">
        <f t="shared" si="0"/>
        <v>1호</v>
      </c>
      <c r="D35" t="str">
        <f>LEFT(B35,2)</f>
        <v>10</v>
      </c>
      <c r="E35" t="str">
        <f t="shared" si="2"/>
        <v>2011호10</v>
      </c>
      <c r="J35" t="s">
        <v>25</v>
      </c>
      <c r="K35">
        <v>355</v>
      </c>
    </row>
    <row r="36" spans="1:11" ht="16.5" customHeight="1" x14ac:dyDescent="0.4">
      <c r="A36">
        <v>201</v>
      </c>
      <c r="B36" s="11">
        <v>1002</v>
      </c>
      <c r="C36" t="str">
        <f t="shared" si="0"/>
        <v>2호</v>
      </c>
      <c r="D36" t="str">
        <f t="shared" ref="D36:D54" si="3">LEFT(B36,2)</f>
        <v>10</v>
      </c>
      <c r="E36" t="str">
        <f t="shared" si="2"/>
        <v>2012호10</v>
      </c>
      <c r="J36" s="35" t="s">
        <v>20</v>
      </c>
      <c r="K36">
        <v>192</v>
      </c>
    </row>
    <row r="37" spans="1:11" ht="16.5" customHeight="1" x14ac:dyDescent="0.4">
      <c r="A37">
        <v>201</v>
      </c>
      <c r="B37" s="11">
        <v>1003</v>
      </c>
      <c r="C37" t="str">
        <f t="shared" si="0"/>
        <v>3호</v>
      </c>
      <c r="D37" t="str">
        <f t="shared" si="3"/>
        <v>10</v>
      </c>
      <c r="E37" t="str">
        <f t="shared" si="2"/>
        <v>2013호10</v>
      </c>
      <c r="J37" t="s">
        <v>21</v>
      </c>
      <c r="K37">
        <v>179</v>
      </c>
    </row>
    <row r="38" spans="1:11" ht="16.5" customHeight="1" x14ac:dyDescent="0.4">
      <c r="A38">
        <v>201</v>
      </c>
      <c r="B38" s="11">
        <v>1004</v>
      </c>
      <c r="C38" t="str">
        <f t="shared" si="0"/>
        <v>4호</v>
      </c>
      <c r="D38" t="str">
        <f t="shared" si="3"/>
        <v>10</v>
      </c>
      <c r="E38" t="str">
        <f t="shared" si="2"/>
        <v>2014호10</v>
      </c>
      <c r="K38">
        <f>SUM(K32:K37)</f>
        <v>1470</v>
      </c>
    </row>
    <row r="39" spans="1:11" ht="16.5" customHeight="1" x14ac:dyDescent="0.4">
      <c r="A39">
        <v>201</v>
      </c>
      <c r="B39" s="11">
        <v>1101</v>
      </c>
      <c r="C39" t="str">
        <f t="shared" si="0"/>
        <v>1호</v>
      </c>
      <c r="D39" t="str">
        <f t="shared" si="3"/>
        <v>11</v>
      </c>
      <c r="E39" t="str">
        <f t="shared" si="2"/>
        <v>2011호11</v>
      </c>
    </row>
    <row r="40" spans="1:11" ht="16.5" customHeight="1" x14ac:dyDescent="0.4">
      <c r="A40">
        <v>201</v>
      </c>
      <c r="B40" s="11">
        <v>1102</v>
      </c>
      <c r="C40" t="str">
        <f t="shared" si="0"/>
        <v>2호</v>
      </c>
      <c r="D40" t="str">
        <f t="shared" si="3"/>
        <v>11</v>
      </c>
      <c r="E40" t="str">
        <f t="shared" si="2"/>
        <v>2012호11</v>
      </c>
    </row>
    <row r="41" spans="1:11" ht="16.5" customHeight="1" x14ac:dyDescent="0.4">
      <c r="A41">
        <v>201</v>
      </c>
      <c r="B41" s="11">
        <v>1103</v>
      </c>
      <c r="C41" t="str">
        <f t="shared" si="0"/>
        <v>3호</v>
      </c>
      <c r="D41" t="str">
        <f t="shared" si="3"/>
        <v>11</v>
      </c>
      <c r="E41" t="str">
        <f t="shared" si="2"/>
        <v>2013호11</v>
      </c>
    </row>
    <row r="42" spans="1:11" ht="16.5" customHeight="1" x14ac:dyDescent="0.4">
      <c r="A42">
        <v>201</v>
      </c>
      <c r="B42" s="11">
        <v>1104</v>
      </c>
      <c r="C42" t="str">
        <f t="shared" si="0"/>
        <v>4호</v>
      </c>
      <c r="D42" t="str">
        <f t="shared" si="3"/>
        <v>11</v>
      </c>
      <c r="E42" t="str">
        <f t="shared" si="2"/>
        <v>2014호11</v>
      </c>
    </row>
    <row r="43" spans="1:11" ht="16.5" customHeight="1" x14ac:dyDescent="0.4">
      <c r="A43">
        <v>201</v>
      </c>
      <c r="B43" s="11">
        <v>1201</v>
      </c>
      <c r="C43" t="str">
        <f t="shared" si="0"/>
        <v>1호</v>
      </c>
      <c r="D43" t="str">
        <f t="shared" si="3"/>
        <v>12</v>
      </c>
      <c r="E43" t="str">
        <f t="shared" si="2"/>
        <v>2011호12</v>
      </c>
    </row>
    <row r="44" spans="1:11" ht="16.5" customHeight="1" x14ac:dyDescent="0.4">
      <c r="A44">
        <v>201</v>
      </c>
      <c r="B44" s="11">
        <v>1202</v>
      </c>
      <c r="C44" t="str">
        <f t="shared" si="0"/>
        <v>2호</v>
      </c>
      <c r="D44" t="str">
        <f t="shared" si="3"/>
        <v>12</v>
      </c>
      <c r="E44" t="str">
        <f t="shared" si="2"/>
        <v>2012호12</v>
      </c>
    </row>
    <row r="45" spans="1:11" ht="16.5" customHeight="1" x14ac:dyDescent="0.4">
      <c r="A45">
        <v>201</v>
      </c>
      <c r="B45" s="11">
        <v>1203</v>
      </c>
      <c r="C45" t="str">
        <f t="shared" si="0"/>
        <v>3호</v>
      </c>
      <c r="D45" t="str">
        <f t="shared" si="3"/>
        <v>12</v>
      </c>
      <c r="E45" t="str">
        <f t="shared" si="2"/>
        <v>2013호12</v>
      </c>
    </row>
    <row r="46" spans="1:11" ht="16.5" customHeight="1" x14ac:dyDescent="0.4">
      <c r="A46">
        <v>201</v>
      </c>
      <c r="B46" s="11">
        <v>1204</v>
      </c>
      <c r="C46" t="str">
        <f t="shared" si="0"/>
        <v>4호</v>
      </c>
      <c r="D46" t="str">
        <f t="shared" si="3"/>
        <v>12</v>
      </c>
      <c r="E46" t="str">
        <f t="shared" si="2"/>
        <v>2014호12</v>
      </c>
    </row>
    <row r="47" spans="1:11" ht="16.5" customHeight="1" x14ac:dyDescent="0.4">
      <c r="A47">
        <v>201</v>
      </c>
      <c r="B47" s="11">
        <v>1301</v>
      </c>
      <c r="C47" t="str">
        <f t="shared" si="0"/>
        <v>1호</v>
      </c>
      <c r="D47" t="str">
        <f t="shared" si="3"/>
        <v>13</v>
      </c>
      <c r="E47" t="str">
        <f t="shared" si="2"/>
        <v>2011호13</v>
      </c>
    </row>
    <row r="48" spans="1:11" ht="16.5" customHeight="1" x14ac:dyDescent="0.4">
      <c r="A48">
        <v>201</v>
      </c>
      <c r="B48" s="11">
        <v>1302</v>
      </c>
      <c r="C48" t="str">
        <f t="shared" si="0"/>
        <v>2호</v>
      </c>
      <c r="D48" t="str">
        <f t="shared" si="3"/>
        <v>13</v>
      </c>
      <c r="E48" t="str">
        <f t="shared" si="2"/>
        <v>2012호13</v>
      </c>
    </row>
    <row r="49" spans="1:5" ht="16.5" customHeight="1" x14ac:dyDescent="0.4">
      <c r="A49">
        <v>201</v>
      </c>
      <c r="B49" s="11">
        <v>1303</v>
      </c>
      <c r="C49" t="str">
        <f t="shared" si="0"/>
        <v>3호</v>
      </c>
      <c r="D49" t="str">
        <f t="shared" si="3"/>
        <v>13</v>
      </c>
      <c r="E49" t="str">
        <f t="shared" si="2"/>
        <v>2013호13</v>
      </c>
    </row>
    <row r="50" spans="1:5" ht="16.5" customHeight="1" x14ac:dyDescent="0.4">
      <c r="A50">
        <v>201</v>
      </c>
      <c r="B50" s="11">
        <v>1304</v>
      </c>
      <c r="C50" t="str">
        <f t="shared" si="0"/>
        <v>4호</v>
      </c>
      <c r="D50" t="str">
        <f t="shared" si="3"/>
        <v>13</v>
      </c>
      <c r="E50" t="str">
        <f t="shared" si="2"/>
        <v>2014호13</v>
      </c>
    </row>
    <row r="51" spans="1:5" ht="16.5" customHeight="1" x14ac:dyDescent="0.4">
      <c r="A51">
        <v>201</v>
      </c>
      <c r="B51" s="11">
        <v>1401</v>
      </c>
      <c r="C51" t="str">
        <f t="shared" si="0"/>
        <v>1호</v>
      </c>
      <c r="D51" t="str">
        <f t="shared" si="3"/>
        <v>14</v>
      </c>
      <c r="E51" t="str">
        <f t="shared" si="2"/>
        <v>2011호14</v>
      </c>
    </row>
    <row r="52" spans="1:5" ht="16.5" customHeight="1" x14ac:dyDescent="0.4">
      <c r="A52">
        <v>201</v>
      </c>
      <c r="B52" s="11">
        <v>1402</v>
      </c>
      <c r="C52" t="str">
        <f t="shared" si="0"/>
        <v>2호</v>
      </c>
      <c r="D52" t="str">
        <f t="shared" si="3"/>
        <v>14</v>
      </c>
      <c r="E52" t="str">
        <f t="shared" si="2"/>
        <v>2012호14</v>
      </c>
    </row>
    <row r="53" spans="1:5" ht="16.5" customHeight="1" x14ac:dyDescent="0.4">
      <c r="A53">
        <v>201</v>
      </c>
      <c r="B53" s="11">
        <v>1403</v>
      </c>
      <c r="C53" t="str">
        <f t="shared" si="0"/>
        <v>3호</v>
      </c>
      <c r="D53" t="str">
        <f t="shared" si="3"/>
        <v>14</v>
      </c>
      <c r="E53" t="str">
        <f t="shared" si="2"/>
        <v>2013호14</v>
      </c>
    </row>
    <row r="54" spans="1:5" ht="16.5" customHeight="1" x14ac:dyDescent="0.4">
      <c r="A54">
        <v>201</v>
      </c>
      <c r="B54" s="24">
        <v>1404</v>
      </c>
      <c r="C54" t="str">
        <f t="shared" si="0"/>
        <v>4호</v>
      </c>
      <c r="D54" t="str">
        <f t="shared" si="3"/>
        <v>14</v>
      </c>
      <c r="E54" t="str">
        <f t="shared" si="2"/>
        <v>2014호14</v>
      </c>
    </row>
    <row r="55" spans="1:5" ht="16.5" customHeight="1" x14ac:dyDescent="0.4">
      <c r="A55">
        <v>202</v>
      </c>
      <c r="B55" s="9">
        <v>101</v>
      </c>
      <c r="C55" t="str">
        <f t="shared" si="0"/>
        <v>1호</v>
      </c>
      <c r="D55" t="str">
        <f t="shared" ref="D55:D90" si="4">LEFT(B55,1)</f>
        <v>1</v>
      </c>
      <c r="E55" t="str">
        <f t="shared" si="2"/>
        <v>2021호1</v>
      </c>
    </row>
    <row r="56" spans="1:5" ht="16.5" customHeight="1" x14ac:dyDescent="0.4">
      <c r="A56">
        <v>202</v>
      </c>
      <c r="B56" s="9">
        <v>102</v>
      </c>
      <c r="C56" t="str">
        <f t="shared" si="0"/>
        <v>2호</v>
      </c>
      <c r="D56" t="str">
        <f t="shared" si="4"/>
        <v>1</v>
      </c>
      <c r="E56" t="str">
        <f t="shared" si="2"/>
        <v>2022호1</v>
      </c>
    </row>
    <row r="57" spans="1:5" ht="16.5" customHeight="1" x14ac:dyDescent="0.4">
      <c r="A57">
        <v>202</v>
      </c>
      <c r="B57" s="9">
        <v>103</v>
      </c>
      <c r="C57" t="str">
        <f t="shared" si="0"/>
        <v>3호</v>
      </c>
      <c r="D57" t="str">
        <f t="shared" si="4"/>
        <v>1</v>
      </c>
      <c r="E57" t="str">
        <f t="shared" si="2"/>
        <v>2023호1</v>
      </c>
    </row>
    <row r="58" spans="1:5" ht="16.5" customHeight="1" x14ac:dyDescent="0.4">
      <c r="A58">
        <v>202</v>
      </c>
      <c r="B58" s="9">
        <v>104</v>
      </c>
      <c r="C58" t="str">
        <f t="shared" si="0"/>
        <v>4호</v>
      </c>
      <c r="D58" t="str">
        <f t="shared" si="4"/>
        <v>1</v>
      </c>
      <c r="E58" t="str">
        <f t="shared" si="2"/>
        <v>2024호1</v>
      </c>
    </row>
    <row r="59" spans="1:5" ht="16.5" customHeight="1" x14ac:dyDescent="0.4">
      <c r="A59">
        <v>202</v>
      </c>
      <c r="B59" s="9">
        <v>201</v>
      </c>
      <c r="C59" t="str">
        <f t="shared" si="0"/>
        <v>1호</v>
      </c>
      <c r="D59" t="str">
        <f t="shared" si="4"/>
        <v>2</v>
      </c>
      <c r="E59" t="str">
        <f t="shared" si="2"/>
        <v>2021호2</v>
      </c>
    </row>
    <row r="60" spans="1:5" ht="16.5" customHeight="1" x14ac:dyDescent="0.4">
      <c r="A60">
        <v>202</v>
      </c>
      <c r="B60" s="9">
        <v>202</v>
      </c>
      <c r="C60" t="str">
        <f t="shared" si="0"/>
        <v>2호</v>
      </c>
      <c r="D60" t="str">
        <f t="shared" si="4"/>
        <v>2</v>
      </c>
      <c r="E60" t="str">
        <f t="shared" si="2"/>
        <v>2022호2</v>
      </c>
    </row>
    <row r="61" spans="1:5" ht="16.5" customHeight="1" x14ac:dyDescent="0.4">
      <c r="A61">
        <v>202</v>
      </c>
      <c r="B61" s="9">
        <v>203</v>
      </c>
      <c r="C61" t="str">
        <f t="shared" si="0"/>
        <v>3호</v>
      </c>
      <c r="D61" t="str">
        <f t="shared" si="4"/>
        <v>2</v>
      </c>
      <c r="E61" t="str">
        <f t="shared" si="2"/>
        <v>2023호2</v>
      </c>
    </row>
    <row r="62" spans="1:5" ht="16.5" customHeight="1" x14ac:dyDescent="0.4">
      <c r="A62">
        <v>202</v>
      </c>
      <c r="B62" s="9">
        <v>204</v>
      </c>
      <c r="C62" t="str">
        <f t="shared" si="0"/>
        <v>4호</v>
      </c>
      <c r="D62" t="str">
        <f t="shared" si="4"/>
        <v>2</v>
      </c>
      <c r="E62" t="str">
        <f t="shared" si="2"/>
        <v>2024호2</v>
      </c>
    </row>
    <row r="63" spans="1:5" ht="16.5" customHeight="1" x14ac:dyDescent="0.4">
      <c r="A63">
        <v>202</v>
      </c>
      <c r="B63" s="9">
        <v>301</v>
      </c>
      <c r="C63" t="str">
        <f t="shared" si="0"/>
        <v>1호</v>
      </c>
      <c r="D63" t="str">
        <f t="shared" si="4"/>
        <v>3</v>
      </c>
      <c r="E63" t="str">
        <f t="shared" si="2"/>
        <v>2021호3</v>
      </c>
    </row>
    <row r="64" spans="1:5" ht="16.5" customHeight="1" x14ac:dyDescent="0.4">
      <c r="A64">
        <v>202</v>
      </c>
      <c r="B64" s="9">
        <v>302</v>
      </c>
      <c r="C64" t="str">
        <f t="shared" si="0"/>
        <v>2호</v>
      </c>
      <c r="D64" t="str">
        <f t="shared" si="4"/>
        <v>3</v>
      </c>
      <c r="E64" t="str">
        <f t="shared" si="2"/>
        <v>2022호3</v>
      </c>
    </row>
    <row r="65" spans="1:5" ht="16.5" customHeight="1" x14ac:dyDescent="0.4">
      <c r="A65">
        <v>202</v>
      </c>
      <c r="B65" s="9">
        <v>303</v>
      </c>
      <c r="C65" t="str">
        <f t="shared" si="0"/>
        <v>3호</v>
      </c>
      <c r="D65" t="str">
        <f t="shared" si="4"/>
        <v>3</v>
      </c>
      <c r="E65" t="str">
        <f t="shared" si="2"/>
        <v>2023호3</v>
      </c>
    </row>
    <row r="66" spans="1:5" ht="16.5" customHeight="1" x14ac:dyDescent="0.4">
      <c r="A66">
        <v>202</v>
      </c>
      <c r="B66" s="9">
        <v>304</v>
      </c>
      <c r="C66" t="str">
        <f t="shared" si="0"/>
        <v>4호</v>
      </c>
      <c r="D66" t="str">
        <f t="shared" si="4"/>
        <v>3</v>
      </c>
      <c r="E66" t="str">
        <f t="shared" si="2"/>
        <v>2024호3</v>
      </c>
    </row>
    <row r="67" spans="1:5" ht="16.5" customHeight="1" x14ac:dyDescent="0.4">
      <c r="A67">
        <v>202</v>
      </c>
      <c r="B67" s="9">
        <v>401</v>
      </c>
      <c r="C67" t="str">
        <f t="shared" si="0"/>
        <v>1호</v>
      </c>
      <c r="D67" t="str">
        <f t="shared" si="4"/>
        <v>4</v>
      </c>
      <c r="E67" t="str">
        <f t="shared" si="2"/>
        <v>2021호4</v>
      </c>
    </row>
    <row r="68" spans="1:5" ht="16.5" customHeight="1" x14ac:dyDescent="0.4">
      <c r="A68">
        <v>202</v>
      </c>
      <c r="B68" s="22">
        <v>402</v>
      </c>
      <c r="C68" t="str">
        <f t="shared" ref="C68:C131" si="5">RIGHT(B68,1)&amp;"호"</f>
        <v>2호</v>
      </c>
      <c r="D68" t="str">
        <f t="shared" si="4"/>
        <v>4</v>
      </c>
      <c r="E68" t="str">
        <f t="shared" ref="E68:E131" si="6">A68&amp;C68&amp;D68</f>
        <v>2022호4</v>
      </c>
    </row>
    <row r="69" spans="1:5" ht="16.5" customHeight="1" x14ac:dyDescent="0.4">
      <c r="A69">
        <v>202</v>
      </c>
      <c r="B69" s="11">
        <v>403</v>
      </c>
      <c r="C69" t="str">
        <f t="shared" si="5"/>
        <v>3호</v>
      </c>
      <c r="D69" t="str">
        <f t="shared" si="4"/>
        <v>4</v>
      </c>
      <c r="E69" t="str">
        <f t="shared" si="6"/>
        <v>2023호4</v>
      </c>
    </row>
    <row r="70" spans="1:5" ht="16.5" customHeight="1" x14ac:dyDescent="0.4">
      <c r="A70">
        <v>202</v>
      </c>
      <c r="B70" s="11">
        <v>404</v>
      </c>
      <c r="C70" t="str">
        <f t="shared" si="5"/>
        <v>4호</v>
      </c>
      <c r="D70" t="str">
        <f t="shared" si="4"/>
        <v>4</v>
      </c>
      <c r="E70" t="str">
        <f t="shared" si="6"/>
        <v>2024호4</v>
      </c>
    </row>
    <row r="71" spans="1:5" ht="16.5" customHeight="1" x14ac:dyDescent="0.4">
      <c r="A71">
        <v>202</v>
      </c>
      <c r="B71" s="11">
        <v>501</v>
      </c>
      <c r="C71" t="str">
        <f t="shared" si="5"/>
        <v>1호</v>
      </c>
      <c r="D71" t="str">
        <f t="shared" si="4"/>
        <v>5</v>
      </c>
      <c r="E71" t="str">
        <f t="shared" si="6"/>
        <v>2021호5</v>
      </c>
    </row>
    <row r="72" spans="1:5" ht="16.5" customHeight="1" x14ac:dyDescent="0.4">
      <c r="A72">
        <v>202</v>
      </c>
      <c r="B72" s="11">
        <v>502</v>
      </c>
      <c r="C72" t="str">
        <f t="shared" si="5"/>
        <v>2호</v>
      </c>
      <c r="D72" t="str">
        <f t="shared" si="4"/>
        <v>5</v>
      </c>
      <c r="E72" t="str">
        <f t="shared" si="6"/>
        <v>2022호5</v>
      </c>
    </row>
    <row r="73" spans="1:5" ht="16.5" customHeight="1" x14ac:dyDescent="0.4">
      <c r="A73">
        <v>202</v>
      </c>
      <c r="B73" s="11">
        <v>503</v>
      </c>
      <c r="C73" t="str">
        <f t="shared" si="5"/>
        <v>3호</v>
      </c>
      <c r="D73" t="str">
        <f t="shared" si="4"/>
        <v>5</v>
      </c>
      <c r="E73" t="str">
        <f t="shared" si="6"/>
        <v>2023호5</v>
      </c>
    </row>
    <row r="74" spans="1:5" ht="16.5" customHeight="1" x14ac:dyDescent="0.4">
      <c r="A74">
        <v>202</v>
      </c>
      <c r="B74" s="11">
        <v>504</v>
      </c>
      <c r="C74" t="str">
        <f t="shared" si="5"/>
        <v>4호</v>
      </c>
      <c r="D74" t="str">
        <f t="shared" si="4"/>
        <v>5</v>
      </c>
      <c r="E74" t="str">
        <f t="shared" si="6"/>
        <v>2024호5</v>
      </c>
    </row>
    <row r="75" spans="1:5" ht="16.5" customHeight="1" x14ac:dyDescent="0.4">
      <c r="A75">
        <v>202</v>
      </c>
      <c r="B75" s="11">
        <v>601</v>
      </c>
      <c r="C75" t="str">
        <f t="shared" si="5"/>
        <v>1호</v>
      </c>
      <c r="D75" t="str">
        <f t="shared" si="4"/>
        <v>6</v>
      </c>
      <c r="E75" t="str">
        <f t="shared" si="6"/>
        <v>2021호6</v>
      </c>
    </row>
    <row r="76" spans="1:5" ht="16.5" customHeight="1" x14ac:dyDescent="0.4">
      <c r="A76">
        <v>202</v>
      </c>
      <c r="B76" s="11">
        <v>602</v>
      </c>
      <c r="C76" t="str">
        <f t="shared" si="5"/>
        <v>2호</v>
      </c>
      <c r="D76" t="str">
        <f t="shared" si="4"/>
        <v>6</v>
      </c>
      <c r="E76" t="str">
        <f t="shared" si="6"/>
        <v>2022호6</v>
      </c>
    </row>
    <row r="77" spans="1:5" ht="16.5" customHeight="1" x14ac:dyDescent="0.4">
      <c r="A77">
        <v>202</v>
      </c>
      <c r="B77" s="11">
        <v>603</v>
      </c>
      <c r="C77" t="str">
        <f t="shared" si="5"/>
        <v>3호</v>
      </c>
      <c r="D77" t="str">
        <f t="shared" si="4"/>
        <v>6</v>
      </c>
      <c r="E77" t="str">
        <f t="shared" si="6"/>
        <v>2023호6</v>
      </c>
    </row>
    <row r="78" spans="1:5" ht="16.5" customHeight="1" x14ac:dyDescent="0.4">
      <c r="A78">
        <v>202</v>
      </c>
      <c r="B78" s="11">
        <v>604</v>
      </c>
      <c r="C78" t="str">
        <f t="shared" si="5"/>
        <v>4호</v>
      </c>
      <c r="D78" t="str">
        <f t="shared" si="4"/>
        <v>6</v>
      </c>
      <c r="E78" t="str">
        <f t="shared" si="6"/>
        <v>2024호6</v>
      </c>
    </row>
    <row r="79" spans="1:5" ht="16.5" customHeight="1" x14ac:dyDescent="0.4">
      <c r="A79">
        <v>202</v>
      </c>
      <c r="B79" s="11">
        <v>701</v>
      </c>
      <c r="C79" t="str">
        <f t="shared" si="5"/>
        <v>1호</v>
      </c>
      <c r="D79" t="str">
        <f t="shared" si="4"/>
        <v>7</v>
      </c>
      <c r="E79" t="str">
        <f t="shared" si="6"/>
        <v>2021호7</v>
      </c>
    </row>
    <row r="80" spans="1:5" ht="16.5" customHeight="1" x14ac:dyDescent="0.4">
      <c r="A80">
        <v>202</v>
      </c>
      <c r="B80" s="11">
        <v>702</v>
      </c>
      <c r="C80" t="str">
        <f t="shared" si="5"/>
        <v>2호</v>
      </c>
      <c r="D80" t="str">
        <f t="shared" si="4"/>
        <v>7</v>
      </c>
      <c r="E80" t="str">
        <f t="shared" si="6"/>
        <v>2022호7</v>
      </c>
    </row>
    <row r="81" spans="1:5" ht="16.5" customHeight="1" x14ac:dyDescent="0.4">
      <c r="A81">
        <v>202</v>
      </c>
      <c r="B81" s="11">
        <v>703</v>
      </c>
      <c r="C81" t="str">
        <f t="shared" si="5"/>
        <v>3호</v>
      </c>
      <c r="D81" t="str">
        <f t="shared" si="4"/>
        <v>7</v>
      </c>
      <c r="E81" t="str">
        <f t="shared" si="6"/>
        <v>2023호7</v>
      </c>
    </row>
    <row r="82" spans="1:5" ht="16.5" customHeight="1" x14ac:dyDescent="0.4">
      <c r="A82">
        <v>202</v>
      </c>
      <c r="B82" s="24">
        <v>704</v>
      </c>
      <c r="C82" t="str">
        <f t="shared" si="5"/>
        <v>4호</v>
      </c>
      <c r="D82" t="str">
        <f t="shared" si="4"/>
        <v>7</v>
      </c>
      <c r="E82" t="str">
        <f t="shared" si="6"/>
        <v>2024호7</v>
      </c>
    </row>
    <row r="83" spans="1:5" ht="16.5" customHeight="1" x14ac:dyDescent="0.4">
      <c r="A83">
        <v>202</v>
      </c>
      <c r="B83" s="11">
        <v>801</v>
      </c>
      <c r="C83" t="str">
        <f t="shared" si="5"/>
        <v>1호</v>
      </c>
      <c r="D83" t="str">
        <f t="shared" si="4"/>
        <v>8</v>
      </c>
      <c r="E83" t="str">
        <f t="shared" si="6"/>
        <v>2021호8</v>
      </c>
    </row>
    <row r="84" spans="1:5" ht="16.5" customHeight="1" x14ac:dyDescent="0.4">
      <c r="A84">
        <v>202</v>
      </c>
      <c r="B84" s="11">
        <v>802</v>
      </c>
      <c r="C84" t="str">
        <f t="shared" si="5"/>
        <v>2호</v>
      </c>
      <c r="D84" t="str">
        <f t="shared" si="4"/>
        <v>8</v>
      </c>
      <c r="E84" t="str">
        <f t="shared" si="6"/>
        <v>2022호8</v>
      </c>
    </row>
    <row r="85" spans="1:5" ht="16.5" customHeight="1" x14ac:dyDescent="0.4">
      <c r="A85">
        <v>202</v>
      </c>
      <c r="B85" s="11">
        <v>803</v>
      </c>
      <c r="C85" t="str">
        <f t="shared" si="5"/>
        <v>3호</v>
      </c>
      <c r="D85" t="str">
        <f t="shared" si="4"/>
        <v>8</v>
      </c>
      <c r="E85" t="str">
        <f t="shared" si="6"/>
        <v>2023호8</v>
      </c>
    </row>
    <row r="86" spans="1:5" ht="16.5" customHeight="1" x14ac:dyDescent="0.4">
      <c r="A86">
        <v>202</v>
      </c>
      <c r="B86" s="11">
        <v>804</v>
      </c>
      <c r="C86" t="str">
        <f t="shared" si="5"/>
        <v>4호</v>
      </c>
      <c r="D86" t="str">
        <f t="shared" si="4"/>
        <v>8</v>
      </c>
      <c r="E86" t="str">
        <f t="shared" si="6"/>
        <v>2024호8</v>
      </c>
    </row>
    <row r="87" spans="1:5" ht="16.5" customHeight="1" x14ac:dyDescent="0.4">
      <c r="A87">
        <v>202</v>
      </c>
      <c r="B87" s="11">
        <v>901</v>
      </c>
      <c r="C87" t="str">
        <f t="shared" si="5"/>
        <v>1호</v>
      </c>
      <c r="D87" t="str">
        <f t="shared" si="4"/>
        <v>9</v>
      </c>
      <c r="E87" t="str">
        <f t="shared" si="6"/>
        <v>2021호9</v>
      </c>
    </row>
    <row r="88" spans="1:5" ht="16.5" customHeight="1" x14ac:dyDescent="0.4">
      <c r="A88">
        <v>202</v>
      </c>
      <c r="B88" s="11">
        <v>902</v>
      </c>
      <c r="C88" t="str">
        <f t="shared" si="5"/>
        <v>2호</v>
      </c>
      <c r="D88" t="str">
        <f t="shared" si="4"/>
        <v>9</v>
      </c>
      <c r="E88" t="str">
        <f t="shared" si="6"/>
        <v>2022호9</v>
      </c>
    </row>
    <row r="89" spans="1:5" ht="16.5" customHeight="1" x14ac:dyDescent="0.4">
      <c r="A89">
        <v>202</v>
      </c>
      <c r="B89" s="11">
        <v>903</v>
      </c>
      <c r="C89" t="str">
        <f t="shared" si="5"/>
        <v>3호</v>
      </c>
      <c r="D89" t="str">
        <f t="shared" si="4"/>
        <v>9</v>
      </c>
      <c r="E89" t="str">
        <f t="shared" si="6"/>
        <v>2023호9</v>
      </c>
    </row>
    <row r="90" spans="1:5" ht="16.5" customHeight="1" x14ac:dyDescent="0.4">
      <c r="A90">
        <v>202</v>
      </c>
      <c r="B90" s="11">
        <v>904</v>
      </c>
      <c r="C90" t="str">
        <f t="shared" si="5"/>
        <v>4호</v>
      </c>
      <c r="D90" t="str">
        <f t="shared" si="4"/>
        <v>9</v>
      </c>
      <c r="E90" t="str">
        <f t="shared" si="6"/>
        <v>2024호9</v>
      </c>
    </row>
    <row r="91" spans="1:5" ht="16.5" customHeight="1" x14ac:dyDescent="0.4">
      <c r="A91">
        <v>202</v>
      </c>
      <c r="B91" s="11">
        <v>1001</v>
      </c>
      <c r="C91" t="str">
        <f t="shared" si="5"/>
        <v>1호</v>
      </c>
      <c r="D91" t="str">
        <f t="shared" ref="D91:D110" si="7">LEFT(B91,2)</f>
        <v>10</v>
      </c>
      <c r="E91" t="str">
        <f t="shared" si="6"/>
        <v>2021호10</v>
      </c>
    </row>
    <row r="92" spans="1:5" ht="16.5" customHeight="1" x14ac:dyDescent="0.4">
      <c r="A92">
        <v>202</v>
      </c>
      <c r="B92" s="11">
        <v>1002</v>
      </c>
      <c r="C92" t="str">
        <f t="shared" si="5"/>
        <v>2호</v>
      </c>
      <c r="D92" t="str">
        <f t="shared" si="7"/>
        <v>10</v>
      </c>
      <c r="E92" t="str">
        <f t="shared" si="6"/>
        <v>2022호10</v>
      </c>
    </row>
    <row r="93" spans="1:5" ht="16.5" customHeight="1" x14ac:dyDescent="0.4">
      <c r="A93">
        <v>202</v>
      </c>
      <c r="B93" s="11">
        <v>1003</v>
      </c>
      <c r="C93" t="str">
        <f t="shared" si="5"/>
        <v>3호</v>
      </c>
      <c r="D93" t="str">
        <f t="shared" si="7"/>
        <v>10</v>
      </c>
      <c r="E93" t="str">
        <f t="shared" si="6"/>
        <v>2023호10</v>
      </c>
    </row>
    <row r="94" spans="1:5" ht="16.5" customHeight="1" x14ac:dyDescent="0.4">
      <c r="A94">
        <v>202</v>
      </c>
      <c r="B94" s="11">
        <v>1004</v>
      </c>
      <c r="C94" t="str">
        <f t="shared" si="5"/>
        <v>4호</v>
      </c>
      <c r="D94" t="str">
        <f t="shared" si="7"/>
        <v>10</v>
      </c>
      <c r="E94" t="str">
        <f t="shared" si="6"/>
        <v>2024호10</v>
      </c>
    </row>
    <row r="95" spans="1:5" ht="16.5" customHeight="1" x14ac:dyDescent="0.4">
      <c r="A95">
        <v>202</v>
      </c>
      <c r="B95" s="11">
        <v>1101</v>
      </c>
      <c r="C95" t="str">
        <f t="shared" si="5"/>
        <v>1호</v>
      </c>
      <c r="D95" t="str">
        <f t="shared" si="7"/>
        <v>11</v>
      </c>
      <c r="E95" t="str">
        <f t="shared" si="6"/>
        <v>2021호11</v>
      </c>
    </row>
    <row r="96" spans="1:5" ht="16.5" customHeight="1" x14ac:dyDescent="0.4">
      <c r="A96">
        <v>202</v>
      </c>
      <c r="B96" s="24">
        <v>1102</v>
      </c>
      <c r="C96" t="str">
        <f t="shared" si="5"/>
        <v>2호</v>
      </c>
      <c r="D96" t="str">
        <f t="shared" si="7"/>
        <v>11</v>
      </c>
      <c r="E96" t="str">
        <f t="shared" si="6"/>
        <v>2022호11</v>
      </c>
    </row>
    <row r="97" spans="1:5" ht="16.5" customHeight="1" x14ac:dyDescent="0.4">
      <c r="A97">
        <v>202</v>
      </c>
      <c r="B97" s="11">
        <v>1103</v>
      </c>
      <c r="C97" t="str">
        <f t="shared" si="5"/>
        <v>3호</v>
      </c>
      <c r="D97" t="str">
        <f t="shared" si="7"/>
        <v>11</v>
      </c>
      <c r="E97" t="str">
        <f t="shared" si="6"/>
        <v>2023호11</v>
      </c>
    </row>
    <row r="98" spans="1:5" ht="16.5" customHeight="1" x14ac:dyDescent="0.4">
      <c r="A98">
        <v>202</v>
      </c>
      <c r="B98" s="11">
        <v>1104</v>
      </c>
      <c r="C98" t="str">
        <f t="shared" si="5"/>
        <v>4호</v>
      </c>
      <c r="D98" t="str">
        <f t="shared" si="7"/>
        <v>11</v>
      </c>
      <c r="E98" t="str">
        <f t="shared" si="6"/>
        <v>2024호11</v>
      </c>
    </row>
    <row r="99" spans="1:5" ht="16.5" customHeight="1" x14ac:dyDescent="0.4">
      <c r="A99">
        <v>202</v>
      </c>
      <c r="B99" s="11">
        <v>1201</v>
      </c>
      <c r="C99" t="str">
        <f t="shared" si="5"/>
        <v>1호</v>
      </c>
      <c r="D99" t="str">
        <f t="shared" si="7"/>
        <v>12</v>
      </c>
      <c r="E99" t="str">
        <f t="shared" si="6"/>
        <v>2021호12</v>
      </c>
    </row>
    <row r="100" spans="1:5" ht="16.5" customHeight="1" x14ac:dyDescent="0.4">
      <c r="A100">
        <v>202</v>
      </c>
      <c r="B100" s="11">
        <v>1202</v>
      </c>
      <c r="C100" t="str">
        <f t="shared" si="5"/>
        <v>2호</v>
      </c>
      <c r="D100" t="str">
        <f t="shared" si="7"/>
        <v>12</v>
      </c>
      <c r="E100" t="str">
        <f t="shared" si="6"/>
        <v>2022호12</v>
      </c>
    </row>
    <row r="101" spans="1:5" ht="16.5" customHeight="1" x14ac:dyDescent="0.4">
      <c r="A101">
        <v>202</v>
      </c>
      <c r="B101" s="11">
        <v>1203</v>
      </c>
      <c r="C101" t="str">
        <f t="shared" si="5"/>
        <v>3호</v>
      </c>
      <c r="D101" t="str">
        <f t="shared" si="7"/>
        <v>12</v>
      </c>
      <c r="E101" t="str">
        <f t="shared" si="6"/>
        <v>2023호12</v>
      </c>
    </row>
    <row r="102" spans="1:5" ht="16.5" customHeight="1" x14ac:dyDescent="0.4">
      <c r="A102">
        <v>202</v>
      </c>
      <c r="B102" s="11">
        <v>1204</v>
      </c>
      <c r="C102" t="str">
        <f t="shared" si="5"/>
        <v>4호</v>
      </c>
      <c r="D102" t="str">
        <f t="shared" si="7"/>
        <v>12</v>
      </c>
      <c r="E102" t="str">
        <f t="shared" si="6"/>
        <v>2024호12</v>
      </c>
    </row>
    <row r="103" spans="1:5" ht="16.5" customHeight="1" x14ac:dyDescent="0.4">
      <c r="A103">
        <v>202</v>
      </c>
      <c r="B103" s="11">
        <v>1301</v>
      </c>
      <c r="C103" t="str">
        <f t="shared" si="5"/>
        <v>1호</v>
      </c>
      <c r="D103" t="str">
        <f t="shared" si="7"/>
        <v>13</v>
      </c>
      <c r="E103" t="str">
        <f t="shared" si="6"/>
        <v>2021호13</v>
      </c>
    </row>
    <row r="104" spans="1:5" ht="16.5" customHeight="1" x14ac:dyDescent="0.4">
      <c r="A104">
        <v>202</v>
      </c>
      <c r="B104" s="11">
        <v>1302</v>
      </c>
      <c r="C104" t="str">
        <f t="shared" si="5"/>
        <v>2호</v>
      </c>
      <c r="D104" t="str">
        <f t="shared" si="7"/>
        <v>13</v>
      </c>
      <c r="E104" t="str">
        <f t="shared" si="6"/>
        <v>2022호13</v>
      </c>
    </row>
    <row r="105" spans="1:5" ht="16.5" customHeight="1" x14ac:dyDescent="0.4">
      <c r="A105">
        <v>202</v>
      </c>
      <c r="B105" s="11">
        <v>1303</v>
      </c>
      <c r="C105" t="str">
        <f t="shared" si="5"/>
        <v>3호</v>
      </c>
      <c r="D105" t="str">
        <f t="shared" si="7"/>
        <v>13</v>
      </c>
      <c r="E105" t="str">
        <f t="shared" si="6"/>
        <v>2023호13</v>
      </c>
    </row>
    <row r="106" spans="1:5" ht="16.5" customHeight="1" x14ac:dyDescent="0.4">
      <c r="A106">
        <v>202</v>
      </c>
      <c r="B106" s="11">
        <v>1304</v>
      </c>
      <c r="C106" t="str">
        <f t="shared" si="5"/>
        <v>4호</v>
      </c>
      <c r="D106" t="str">
        <f t="shared" si="7"/>
        <v>13</v>
      </c>
      <c r="E106" t="str">
        <f t="shared" si="6"/>
        <v>2024호13</v>
      </c>
    </row>
    <row r="107" spans="1:5" ht="16.5" customHeight="1" x14ac:dyDescent="0.4">
      <c r="A107">
        <v>202</v>
      </c>
      <c r="B107" s="11">
        <v>1401</v>
      </c>
      <c r="C107" t="str">
        <f t="shared" si="5"/>
        <v>1호</v>
      </c>
      <c r="D107" t="str">
        <f t="shared" si="7"/>
        <v>14</v>
      </c>
      <c r="E107" t="str">
        <f t="shared" si="6"/>
        <v>2021호14</v>
      </c>
    </row>
    <row r="108" spans="1:5" ht="16.5" customHeight="1" x14ac:dyDescent="0.4">
      <c r="A108">
        <v>202</v>
      </c>
      <c r="B108" s="11">
        <v>1402</v>
      </c>
      <c r="C108" t="str">
        <f t="shared" si="5"/>
        <v>2호</v>
      </c>
      <c r="D108" t="str">
        <f t="shared" si="7"/>
        <v>14</v>
      </c>
      <c r="E108" t="str">
        <f t="shared" si="6"/>
        <v>2022호14</v>
      </c>
    </row>
    <row r="109" spans="1:5" ht="16.5" customHeight="1" x14ac:dyDescent="0.4">
      <c r="A109">
        <v>202</v>
      </c>
      <c r="B109" s="11">
        <v>1403</v>
      </c>
      <c r="C109" t="str">
        <f t="shared" si="5"/>
        <v>3호</v>
      </c>
      <c r="D109" t="str">
        <f t="shared" si="7"/>
        <v>14</v>
      </c>
      <c r="E109" t="str">
        <f t="shared" si="6"/>
        <v>2023호14</v>
      </c>
    </row>
    <row r="110" spans="1:5" ht="16.5" customHeight="1" x14ac:dyDescent="0.4">
      <c r="A110">
        <v>202</v>
      </c>
      <c r="B110" s="24">
        <v>1404</v>
      </c>
      <c r="C110" t="str">
        <f t="shared" si="5"/>
        <v>4호</v>
      </c>
      <c r="D110" t="str">
        <f t="shared" si="7"/>
        <v>14</v>
      </c>
      <c r="E110" t="str">
        <f t="shared" si="6"/>
        <v>2024호14</v>
      </c>
    </row>
    <row r="111" spans="1:5" ht="16.5" customHeight="1" x14ac:dyDescent="0.4">
      <c r="A111">
        <v>203</v>
      </c>
      <c r="B111" s="9">
        <v>101</v>
      </c>
      <c r="C111" t="str">
        <f t="shared" si="5"/>
        <v>1호</v>
      </c>
      <c r="D111" t="str">
        <f t="shared" ref="D111:D146" si="8">LEFT(B111,1)</f>
        <v>1</v>
      </c>
      <c r="E111" t="str">
        <f t="shared" si="6"/>
        <v>2031호1</v>
      </c>
    </row>
    <row r="112" spans="1:5" ht="16.5" customHeight="1" x14ac:dyDescent="0.4">
      <c r="A112">
        <v>203</v>
      </c>
      <c r="B112" s="9">
        <v>102</v>
      </c>
      <c r="C112" t="str">
        <f t="shared" si="5"/>
        <v>2호</v>
      </c>
      <c r="D112" t="str">
        <f t="shared" si="8"/>
        <v>1</v>
      </c>
      <c r="E112" t="str">
        <f t="shared" si="6"/>
        <v>2032호1</v>
      </c>
    </row>
    <row r="113" spans="1:5" ht="16.5" customHeight="1" x14ac:dyDescent="0.4">
      <c r="A113">
        <v>203</v>
      </c>
      <c r="B113" s="9">
        <v>103</v>
      </c>
      <c r="C113" t="str">
        <f t="shared" si="5"/>
        <v>3호</v>
      </c>
      <c r="D113" t="str">
        <f t="shared" si="8"/>
        <v>1</v>
      </c>
      <c r="E113" t="str">
        <f t="shared" si="6"/>
        <v>2033호1</v>
      </c>
    </row>
    <row r="114" spans="1:5" ht="16.5" customHeight="1" x14ac:dyDescent="0.4">
      <c r="A114">
        <v>203</v>
      </c>
      <c r="B114" s="9">
        <v>104</v>
      </c>
      <c r="C114" t="str">
        <f t="shared" si="5"/>
        <v>4호</v>
      </c>
      <c r="D114" t="str">
        <f t="shared" si="8"/>
        <v>1</v>
      </c>
      <c r="E114" t="str">
        <f t="shared" si="6"/>
        <v>2034호1</v>
      </c>
    </row>
    <row r="115" spans="1:5" ht="16.5" customHeight="1" x14ac:dyDescent="0.4">
      <c r="A115">
        <v>203</v>
      </c>
      <c r="B115" s="9">
        <v>201</v>
      </c>
      <c r="C115" t="str">
        <f t="shared" si="5"/>
        <v>1호</v>
      </c>
      <c r="D115" t="str">
        <f t="shared" si="8"/>
        <v>2</v>
      </c>
      <c r="E115" t="str">
        <f t="shared" si="6"/>
        <v>2031호2</v>
      </c>
    </row>
    <row r="116" spans="1:5" ht="16.5" customHeight="1" x14ac:dyDescent="0.4">
      <c r="A116">
        <v>203</v>
      </c>
      <c r="B116" s="9">
        <v>202</v>
      </c>
      <c r="C116" t="str">
        <f t="shared" si="5"/>
        <v>2호</v>
      </c>
      <c r="D116" t="str">
        <f t="shared" si="8"/>
        <v>2</v>
      </c>
      <c r="E116" t="str">
        <f t="shared" si="6"/>
        <v>2032호2</v>
      </c>
    </row>
    <row r="117" spans="1:5" ht="16.5" customHeight="1" x14ac:dyDescent="0.4">
      <c r="A117">
        <v>203</v>
      </c>
      <c r="B117" s="9">
        <v>203</v>
      </c>
      <c r="C117" t="str">
        <f t="shared" si="5"/>
        <v>3호</v>
      </c>
      <c r="D117" t="str">
        <f t="shared" si="8"/>
        <v>2</v>
      </c>
      <c r="E117" t="str">
        <f t="shared" si="6"/>
        <v>2033호2</v>
      </c>
    </row>
    <row r="118" spans="1:5" ht="16.5" customHeight="1" x14ac:dyDescent="0.4">
      <c r="A118">
        <v>203</v>
      </c>
      <c r="B118" s="9">
        <v>204</v>
      </c>
      <c r="C118" t="str">
        <f t="shared" si="5"/>
        <v>4호</v>
      </c>
      <c r="D118" t="str">
        <f t="shared" si="8"/>
        <v>2</v>
      </c>
      <c r="E118" t="str">
        <f t="shared" si="6"/>
        <v>2034호2</v>
      </c>
    </row>
    <row r="119" spans="1:5" ht="16.5" customHeight="1" x14ac:dyDescent="0.4">
      <c r="A119">
        <v>203</v>
      </c>
      <c r="B119" s="9">
        <v>301</v>
      </c>
      <c r="C119" t="str">
        <f t="shared" si="5"/>
        <v>1호</v>
      </c>
      <c r="D119" t="str">
        <f t="shared" si="8"/>
        <v>3</v>
      </c>
      <c r="E119" t="str">
        <f t="shared" si="6"/>
        <v>2031호3</v>
      </c>
    </row>
    <row r="120" spans="1:5" ht="16.5" customHeight="1" x14ac:dyDescent="0.4">
      <c r="A120">
        <v>203</v>
      </c>
      <c r="B120" s="9">
        <v>302</v>
      </c>
      <c r="C120" t="str">
        <f t="shared" si="5"/>
        <v>2호</v>
      </c>
      <c r="D120" t="str">
        <f t="shared" si="8"/>
        <v>3</v>
      </c>
      <c r="E120" t="str">
        <f t="shared" si="6"/>
        <v>2032호3</v>
      </c>
    </row>
    <row r="121" spans="1:5" ht="16.5" customHeight="1" x14ac:dyDescent="0.4">
      <c r="A121">
        <v>203</v>
      </c>
      <c r="B121" s="9">
        <v>303</v>
      </c>
      <c r="C121" t="str">
        <f t="shared" si="5"/>
        <v>3호</v>
      </c>
      <c r="D121" t="str">
        <f t="shared" si="8"/>
        <v>3</v>
      </c>
      <c r="E121" t="str">
        <f t="shared" si="6"/>
        <v>2033호3</v>
      </c>
    </row>
    <row r="122" spans="1:5" ht="16.5" customHeight="1" x14ac:dyDescent="0.4">
      <c r="A122">
        <v>203</v>
      </c>
      <c r="B122" s="9">
        <v>304</v>
      </c>
      <c r="C122" t="str">
        <f t="shared" si="5"/>
        <v>4호</v>
      </c>
      <c r="D122" t="str">
        <f t="shared" si="8"/>
        <v>3</v>
      </c>
      <c r="E122" t="str">
        <f t="shared" si="6"/>
        <v>2034호3</v>
      </c>
    </row>
    <row r="123" spans="1:5" ht="16.5" customHeight="1" x14ac:dyDescent="0.4">
      <c r="A123">
        <v>203</v>
      </c>
      <c r="B123" s="9">
        <v>401</v>
      </c>
      <c r="C123" t="str">
        <f t="shared" si="5"/>
        <v>1호</v>
      </c>
      <c r="D123" t="str">
        <f t="shared" si="8"/>
        <v>4</v>
      </c>
      <c r="E123" t="str">
        <f t="shared" si="6"/>
        <v>2031호4</v>
      </c>
    </row>
    <row r="124" spans="1:5" ht="16.5" customHeight="1" x14ac:dyDescent="0.4">
      <c r="A124">
        <v>203</v>
      </c>
      <c r="B124" s="22">
        <v>402</v>
      </c>
      <c r="C124" t="str">
        <f t="shared" si="5"/>
        <v>2호</v>
      </c>
      <c r="D124" t="str">
        <f t="shared" si="8"/>
        <v>4</v>
      </c>
      <c r="E124" t="str">
        <f t="shared" si="6"/>
        <v>2032호4</v>
      </c>
    </row>
    <row r="125" spans="1:5" ht="16.5" customHeight="1" x14ac:dyDescent="0.4">
      <c r="A125">
        <v>203</v>
      </c>
      <c r="B125" s="11">
        <v>403</v>
      </c>
      <c r="C125" t="str">
        <f t="shared" si="5"/>
        <v>3호</v>
      </c>
      <c r="D125" t="str">
        <f t="shared" si="8"/>
        <v>4</v>
      </c>
      <c r="E125" t="str">
        <f t="shared" si="6"/>
        <v>2033호4</v>
      </c>
    </row>
    <row r="126" spans="1:5" ht="16.5" customHeight="1" x14ac:dyDescent="0.4">
      <c r="A126">
        <v>203</v>
      </c>
      <c r="B126" s="11">
        <v>404</v>
      </c>
      <c r="C126" t="str">
        <f t="shared" si="5"/>
        <v>4호</v>
      </c>
      <c r="D126" t="str">
        <f t="shared" si="8"/>
        <v>4</v>
      </c>
      <c r="E126" t="str">
        <f t="shared" si="6"/>
        <v>2034호4</v>
      </c>
    </row>
    <row r="127" spans="1:5" ht="16.5" customHeight="1" x14ac:dyDescent="0.4">
      <c r="A127">
        <v>203</v>
      </c>
      <c r="B127" s="11">
        <v>501</v>
      </c>
      <c r="C127" t="str">
        <f t="shared" si="5"/>
        <v>1호</v>
      </c>
      <c r="D127" t="str">
        <f t="shared" si="8"/>
        <v>5</v>
      </c>
      <c r="E127" t="str">
        <f t="shared" si="6"/>
        <v>2031호5</v>
      </c>
    </row>
    <row r="128" spans="1:5" ht="16.5" customHeight="1" x14ac:dyDescent="0.4">
      <c r="A128">
        <v>203</v>
      </c>
      <c r="B128" s="11">
        <v>502</v>
      </c>
      <c r="C128" t="str">
        <f t="shared" si="5"/>
        <v>2호</v>
      </c>
      <c r="D128" t="str">
        <f t="shared" si="8"/>
        <v>5</v>
      </c>
      <c r="E128" t="str">
        <f t="shared" si="6"/>
        <v>2032호5</v>
      </c>
    </row>
    <row r="129" spans="1:5" ht="16.5" customHeight="1" x14ac:dyDescent="0.4">
      <c r="A129">
        <v>203</v>
      </c>
      <c r="B129" s="11">
        <v>503</v>
      </c>
      <c r="C129" t="str">
        <f t="shared" si="5"/>
        <v>3호</v>
      </c>
      <c r="D129" t="str">
        <f t="shared" si="8"/>
        <v>5</v>
      </c>
      <c r="E129" t="str">
        <f t="shared" si="6"/>
        <v>2033호5</v>
      </c>
    </row>
    <row r="130" spans="1:5" ht="16.5" customHeight="1" x14ac:dyDescent="0.4">
      <c r="A130">
        <v>203</v>
      </c>
      <c r="B130" s="11">
        <v>504</v>
      </c>
      <c r="C130" t="str">
        <f t="shared" si="5"/>
        <v>4호</v>
      </c>
      <c r="D130" t="str">
        <f t="shared" si="8"/>
        <v>5</v>
      </c>
      <c r="E130" t="str">
        <f t="shared" si="6"/>
        <v>2034호5</v>
      </c>
    </row>
    <row r="131" spans="1:5" ht="16.5" customHeight="1" x14ac:dyDescent="0.4">
      <c r="A131">
        <v>203</v>
      </c>
      <c r="B131" s="11">
        <v>601</v>
      </c>
      <c r="C131" t="str">
        <f t="shared" si="5"/>
        <v>1호</v>
      </c>
      <c r="D131" t="str">
        <f t="shared" si="8"/>
        <v>6</v>
      </c>
      <c r="E131" t="str">
        <f t="shared" si="6"/>
        <v>2031호6</v>
      </c>
    </row>
    <row r="132" spans="1:5" ht="16.5" customHeight="1" x14ac:dyDescent="0.4">
      <c r="A132">
        <v>203</v>
      </c>
      <c r="B132" s="11">
        <v>602</v>
      </c>
      <c r="C132" t="str">
        <f t="shared" ref="C132:C195" si="9">RIGHT(B132,1)&amp;"호"</f>
        <v>2호</v>
      </c>
      <c r="D132" t="str">
        <f t="shared" si="8"/>
        <v>6</v>
      </c>
      <c r="E132" t="str">
        <f t="shared" ref="E132:E195" si="10">A132&amp;C132&amp;D132</f>
        <v>2032호6</v>
      </c>
    </row>
    <row r="133" spans="1:5" ht="16.5" customHeight="1" x14ac:dyDescent="0.4">
      <c r="A133">
        <v>203</v>
      </c>
      <c r="B133" s="11">
        <v>603</v>
      </c>
      <c r="C133" t="str">
        <f t="shared" si="9"/>
        <v>3호</v>
      </c>
      <c r="D133" t="str">
        <f t="shared" si="8"/>
        <v>6</v>
      </c>
      <c r="E133" t="str">
        <f t="shared" si="10"/>
        <v>2033호6</v>
      </c>
    </row>
    <row r="134" spans="1:5" ht="16.5" customHeight="1" x14ac:dyDescent="0.4">
      <c r="A134">
        <v>203</v>
      </c>
      <c r="B134" s="11">
        <v>604</v>
      </c>
      <c r="C134" t="str">
        <f t="shared" si="9"/>
        <v>4호</v>
      </c>
      <c r="D134" t="str">
        <f t="shared" si="8"/>
        <v>6</v>
      </c>
      <c r="E134" t="str">
        <f t="shared" si="10"/>
        <v>2034호6</v>
      </c>
    </row>
    <row r="135" spans="1:5" ht="16.5" customHeight="1" x14ac:dyDescent="0.4">
      <c r="A135">
        <v>203</v>
      </c>
      <c r="B135" s="11">
        <v>701</v>
      </c>
      <c r="C135" t="str">
        <f t="shared" si="9"/>
        <v>1호</v>
      </c>
      <c r="D135" t="str">
        <f t="shared" si="8"/>
        <v>7</v>
      </c>
      <c r="E135" t="str">
        <f t="shared" si="10"/>
        <v>2031호7</v>
      </c>
    </row>
    <row r="136" spans="1:5" ht="16.5" customHeight="1" x14ac:dyDescent="0.4">
      <c r="A136">
        <v>203</v>
      </c>
      <c r="B136" s="11">
        <v>702</v>
      </c>
      <c r="C136" t="str">
        <f t="shared" si="9"/>
        <v>2호</v>
      </c>
      <c r="D136" t="str">
        <f t="shared" si="8"/>
        <v>7</v>
      </c>
      <c r="E136" t="str">
        <f t="shared" si="10"/>
        <v>2032호7</v>
      </c>
    </row>
    <row r="137" spans="1:5" ht="16.5" customHeight="1" x14ac:dyDescent="0.4">
      <c r="A137">
        <v>203</v>
      </c>
      <c r="B137" s="11">
        <v>703</v>
      </c>
      <c r="C137" t="str">
        <f t="shared" si="9"/>
        <v>3호</v>
      </c>
      <c r="D137" t="str">
        <f t="shared" si="8"/>
        <v>7</v>
      </c>
      <c r="E137" t="str">
        <f t="shared" si="10"/>
        <v>2033호7</v>
      </c>
    </row>
    <row r="138" spans="1:5" ht="16.5" customHeight="1" x14ac:dyDescent="0.4">
      <c r="A138">
        <v>203</v>
      </c>
      <c r="B138" s="24">
        <v>704</v>
      </c>
      <c r="C138" t="str">
        <f t="shared" si="9"/>
        <v>4호</v>
      </c>
      <c r="D138" t="str">
        <f t="shared" si="8"/>
        <v>7</v>
      </c>
      <c r="E138" t="str">
        <f t="shared" si="10"/>
        <v>2034호7</v>
      </c>
    </row>
    <row r="139" spans="1:5" ht="16.5" customHeight="1" x14ac:dyDescent="0.4">
      <c r="A139">
        <v>203</v>
      </c>
      <c r="B139" s="11">
        <v>801</v>
      </c>
      <c r="C139" t="str">
        <f t="shared" si="9"/>
        <v>1호</v>
      </c>
      <c r="D139" t="str">
        <f t="shared" si="8"/>
        <v>8</v>
      </c>
      <c r="E139" t="str">
        <f t="shared" si="10"/>
        <v>2031호8</v>
      </c>
    </row>
    <row r="140" spans="1:5" ht="16.5" customHeight="1" x14ac:dyDescent="0.4">
      <c r="A140">
        <v>203</v>
      </c>
      <c r="B140" s="11">
        <v>802</v>
      </c>
      <c r="C140" t="str">
        <f t="shared" si="9"/>
        <v>2호</v>
      </c>
      <c r="D140" t="str">
        <f t="shared" si="8"/>
        <v>8</v>
      </c>
      <c r="E140" t="str">
        <f t="shared" si="10"/>
        <v>2032호8</v>
      </c>
    </row>
    <row r="141" spans="1:5" ht="16.5" customHeight="1" x14ac:dyDescent="0.4">
      <c r="A141">
        <v>203</v>
      </c>
      <c r="B141" s="11">
        <v>803</v>
      </c>
      <c r="C141" t="str">
        <f t="shared" si="9"/>
        <v>3호</v>
      </c>
      <c r="D141" t="str">
        <f t="shared" si="8"/>
        <v>8</v>
      </c>
      <c r="E141" t="str">
        <f t="shared" si="10"/>
        <v>2033호8</v>
      </c>
    </row>
    <row r="142" spans="1:5" ht="16.5" customHeight="1" x14ac:dyDescent="0.4">
      <c r="A142">
        <v>203</v>
      </c>
      <c r="B142" s="11">
        <v>804</v>
      </c>
      <c r="C142" t="str">
        <f t="shared" si="9"/>
        <v>4호</v>
      </c>
      <c r="D142" t="str">
        <f t="shared" si="8"/>
        <v>8</v>
      </c>
      <c r="E142" t="str">
        <f t="shared" si="10"/>
        <v>2034호8</v>
      </c>
    </row>
    <row r="143" spans="1:5" ht="16.5" customHeight="1" x14ac:dyDescent="0.4">
      <c r="A143">
        <v>203</v>
      </c>
      <c r="B143" s="11">
        <v>901</v>
      </c>
      <c r="C143" t="str">
        <f t="shared" si="9"/>
        <v>1호</v>
      </c>
      <c r="D143" t="str">
        <f t="shared" si="8"/>
        <v>9</v>
      </c>
      <c r="E143" t="str">
        <f t="shared" si="10"/>
        <v>2031호9</v>
      </c>
    </row>
    <row r="144" spans="1:5" ht="16.5" customHeight="1" x14ac:dyDescent="0.4">
      <c r="A144">
        <v>203</v>
      </c>
      <c r="B144" s="11">
        <v>902</v>
      </c>
      <c r="C144" t="str">
        <f t="shared" si="9"/>
        <v>2호</v>
      </c>
      <c r="D144" t="str">
        <f t="shared" si="8"/>
        <v>9</v>
      </c>
      <c r="E144" t="str">
        <f t="shared" si="10"/>
        <v>2032호9</v>
      </c>
    </row>
    <row r="145" spans="1:5" ht="16.5" customHeight="1" x14ac:dyDescent="0.4">
      <c r="A145">
        <v>203</v>
      </c>
      <c r="B145" s="11">
        <v>903</v>
      </c>
      <c r="C145" t="str">
        <f t="shared" si="9"/>
        <v>3호</v>
      </c>
      <c r="D145" t="str">
        <f t="shared" si="8"/>
        <v>9</v>
      </c>
      <c r="E145" t="str">
        <f t="shared" si="10"/>
        <v>2033호9</v>
      </c>
    </row>
    <row r="146" spans="1:5" ht="16.5" customHeight="1" x14ac:dyDescent="0.4">
      <c r="A146">
        <v>203</v>
      </c>
      <c r="B146" s="11">
        <v>904</v>
      </c>
      <c r="C146" t="str">
        <f t="shared" si="9"/>
        <v>4호</v>
      </c>
      <c r="D146" t="str">
        <f t="shared" si="8"/>
        <v>9</v>
      </c>
      <c r="E146" t="str">
        <f t="shared" si="10"/>
        <v>2034호9</v>
      </c>
    </row>
    <row r="147" spans="1:5" ht="16.5" customHeight="1" x14ac:dyDescent="0.4">
      <c r="A147">
        <v>203</v>
      </c>
      <c r="B147" s="11">
        <v>1001</v>
      </c>
      <c r="C147" t="str">
        <f t="shared" si="9"/>
        <v>1호</v>
      </c>
      <c r="D147" t="str">
        <f t="shared" ref="D147:D166" si="11">LEFT(B147,2)</f>
        <v>10</v>
      </c>
      <c r="E147" t="str">
        <f t="shared" si="10"/>
        <v>2031호10</v>
      </c>
    </row>
    <row r="148" spans="1:5" ht="16.5" customHeight="1" x14ac:dyDescent="0.4">
      <c r="A148">
        <v>203</v>
      </c>
      <c r="B148" s="11">
        <v>1002</v>
      </c>
      <c r="C148" t="str">
        <f t="shared" si="9"/>
        <v>2호</v>
      </c>
      <c r="D148" t="str">
        <f t="shared" si="11"/>
        <v>10</v>
      </c>
      <c r="E148" t="str">
        <f t="shared" si="10"/>
        <v>2032호10</v>
      </c>
    </row>
    <row r="149" spans="1:5" ht="16.5" customHeight="1" x14ac:dyDescent="0.4">
      <c r="A149">
        <v>203</v>
      </c>
      <c r="B149" s="11">
        <v>1003</v>
      </c>
      <c r="C149" t="str">
        <f t="shared" si="9"/>
        <v>3호</v>
      </c>
      <c r="D149" t="str">
        <f t="shared" si="11"/>
        <v>10</v>
      </c>
      <c r="E149" t="str">
        <f t="shared" si="10"/>
        <v>2033호10</v>
      </c>
    </row>
    <row r="150" spans="1:5" ht="16.5" customHeight="1" x14ac:dyDescent="0.4">
      <c r="A150">
        <v>203</v>
      </c>
      <c r="B150" s="11">
        <v>1004</v>
      </c>
      <c r="C150" t="str">
        <f t="shared" si="9"/>
        <v>4호</v>
      </c>
      <c r="D150" t="str">
        <f t="shared" si="11"/>
        <v>10</v>
      </c>
      <c r="E150" t="str">
        <f t="shared" si="10"/>
        <v>2034호10</v>
      </c>
    </row>
    <row r="151" spans="1:5" ht="16.5" customHeight="1" x14ac:dyDescent="0.4">
      <c r="A151">
        <v>203</v>
      </c>
      <c r="B151" s="11">
        <v>1101</v>
      </c>
      <c r="C151" t="str">
        <f t="shared" si="9"/>
        <v>1호</v>
      </c>
      <c r="D151" t="str">
        <f t="shared" si="11"/>
        <v>11</v>
      </c>
      <c r="E151" t="str">
        <f t="shared" si="10"/>
        <v>2031호11</v>
      </c>
    </row>
    <row r="152" spans="1:5" ht="16.5" customHeight="1" x14ac:dyDescent="0.4">
      <c r="A152">
        <v>203</v>
      </c>
      <c r="B152" s="24">
        <v>1102</v>
      </c>
      <c r="C152" t="str">
        <f t="shared" si="9"/>
        <v>2호</v>
      </c>
      <c r="D152" t="str">
        <f t="shared" si="11"/>
        <v>11</v>
      </c>
      <c r="E152" t="str">
        <f t="shared" si="10"/>
        <v>2032호11</v>
      </c>
    </row>
    <row r="153" spans="1:5" ht="16.5" customHeight="1" x14ac:dyDescent="0.4">
      <c r="A153">
        <v>203</v>
      </c>
      <c r="B153" s="11">
        <v>1103</v>
      </c>
      <c r="C153" t="str">
        <f t="shared" si="9"/>
        <v>3호</v>
      </c>
      <c r="D153" t="str">
        <f t="shared" si="11"/>
        <v>11</v>
      </c>
      <c r="E153" t="str">
        <f t="shared" si="10"/>
        <v>2033호11</v>
      </c>
    </row>
    <row r="154" spans="1:5" ht="16.5" customHeight="1" x14ac:dyDescent="0.4">
      <c r="A154">
        <v>203</v>
      </c>
      <c r="B154" s="11">
        <v>1104</v>
      </c>
      <c r="C154" t="str">
        <f t="shared" si="9"/>
        <v>4호</v>
      </c>
      <c r="D154" t="str">
        <f t="shared" si="11"/>
        <v>11</v>
      </c>
      <c r="E154" t="str">
        <f t="shared" si="10"/>
        <v>2034호11</v>
      </c>
    </row>
    <row r="155" spans="1:5" ht="16.5" customHeight="1" x14ac:dyDescent="0.4">
      <c r="A155">
        <v>203</v>
      </c>
      <c r="B155" s="11">
        <v>1201</v>
      </c>
      <c r="C155" t="str">
        <f t="shared" si="9"/>
        <v>1호</v>
      </c>
      <c r="D155" t="str">
        <f t="shared" si="11"/>
        <v>12</v>
      </c>
      <c r="E155" t="str">
        <f t="shared" si="10"/>
        <v>2031호12</v>
      </c>
    </row>
    <row r="156" spans="1:5" ht="16.5" customHeight="1" x14ac:dyDescent="0.4">
      <c r="A156">
        <v>203</v>
      </c>
      <c r="B156" s="11">
        <v>1202</v>
      </c>
      <c r="C156" t="str">
        <f t="shared" si="9"/>
        <v>2호</v>
      </c>
      <c r="D156" t="str">
        <f t="shared" si="11"/>
        <v>12</v>
      </c>
      <c r="E156" t="str">
        <f t="shared" si="10"/>
        <v>2032호12</v>
      </c>
    </row>
    <row r="157" spans="1:5" ht="16.5" customHeight="1" x14ac:dyDescent="0.4">
      <c r="A157">
        <v>203</v>
      </c>
      <c r="B157" s="11">
        <v>1203</v>
      </c>
      <c r="C157" t="str">
        <f t="shared" si="9"/>
        <v>3호</v>
      </c>
      <c r="D157" t="str">
        <f t="shared" si="11"/>
        <v>12</v>
      </c>
      <c r="E157" t="str">
        <f t="shared" si="10"/>
        <v>2033호12</v>
      </c>
    </row>
    <row r="158" spans="1:5" ht="16.5" customHeight="1" x14ac:dyDescent="0.4">
      <c r="A158">
        <v>203</v>
      </c>
      <c r="B158" s="11">
        <v>1204</v>
      </c>
      <c r="C158" t="str">
        <f t="shared" si="9"/>
        <v>4호</v>
      </c>
      <c r="D158" t="str">
        <f t="shared" si="11"/>
        <v>12</v>
      </c>
      <c r="E158" t="str">
        <f t="shared" si="10"/>
        <v>2034호12</v>
      </c>
    </row>
    <row r="159" spans="1:5" ht="16.5" customHeight="1" x14ac:dyDescent="0.4">
      <c r="A159">
        <v>203</v>
      </c>
      <c r="B159" s="11">
        <v>1301</v>
      </c>
      <c r="C159" t="str">
        <f t="shared" si="9"/>
        <v>1호</v>
      </c>
      <c r="D159" t="str">
        <f t="shared" si="11"/>
        <v>13</v>
      </c>
      <c r="E159" t="str">
        <f t="shared" si="10"/>
        <v>2031호13</v>
      </c>
    </row>
    <row r="160" spans="1:5" ht="16.5" customHeight="1" x14ac:dyDescent="0.4">
      <c r="A160">
        <v>203</v>
      </c>
      <c r="B160" s="11">
        <v>1302</v>
      </c>
      <c r="C160" t="str">
        <f t="shared" si="9"/>
        <v>2호</v>
      </c>
      <c r="D160" t="str">
        <f t="shared" si="11"/>
        <v>13</v>
      </c>
      <c r="E160" t="str">
        <f t="shared" si="10"/>
        <v>2032호13</v>
      </c>
    </row>
    <row r="161" spans="1:5" ht="16.5" customHeight="1" x14ac:dyDescent="0.4">
      <c r="A161">
        <v>203</v>
      </c>
      <c r="B161" s="11">
        <v>1303</v>
      </c>
      <c r="C161" t="str">
        <f t="shared" si="9"/>
        <v>3호</v>
      </c>
      <c r="D161" t="str">
        <f t="shared" si="11"/>
        <v>13</v>
      </c>
      <c r="E161" t="str">
        <f t="shared" si="10"/>
        <v>2033호13</v>
      </c>
    </row>
    <row r="162" spans="1:5" ht="16.5" customHeight="1" x14ac:dyDescent="0.4">
      <c r="A162">
        <v>203</v>
      </c>
      <c r="B162" s="11">
        <v>1304</v>
      </c>
      <c r="C162" t="str">
        <f t="shared" si="9"/>
        <v>4호</v>
      </c>
      <c r="D162" t="str">
        <f t="shared" si="11"/>
        <v>13</v>
      </c>
      <c r="E162" t="str">
        <f t="shared" si="10"/>
        <v>2034호13</v>
      </c>
    </row>
    <row r="163" spans="1:5" ht="16.5" customHeight="1" x14ac:dyDescent="0.4">
      <c r="A163">
        <v>203</v>
      </c>
      <c r="B163" s="11">
        <v>1401</v>
      </c>
      <c r="C163" t="str">
        <f t="shared" si="9"/>
        <v>1호</v>
      </c>
      <c r="D163" t="str">
        <f t="shared" si="11"/>
        <v>14</v>
      </c>
      <c r="E163" t="str">
        <f t="shared" si="10"/>
        <v>2031호14</v>
      </c>
    </row>
    <row r="164" spans="1:5" ht="16.5" customHeight="1" x14ac:dyDescent="0.4">
      <c r="A164">
        <v>203</v>
      </c>
      <c r="B164" s="11">
        <v>1402</v>
      </c>
      <c r="C164" t="str">
        <f t="shared" si="9"/>
        <v>2호</v>
      </c>
      <c r="D164" t="str">
        <f t="shared" si="11"/>
        <v>14</v>
      </c>
      <c r="E164" t="str">
        <f t="shared" si="10"/>
        <v>2032호14</v>
      </c>
    </row>
    <row r="165" spans="1:5" ht="16.5" customHeight="1" x14ac:dyDescent="0.4">
      <c r="A165">
        <v>203</v>
      </c>
      <c r="B165" s="11">
        <v>1403</v>
      </c>
      <c r="C165" t="str">
        <f t="shared" si="9"/>
        <v>3호</v>
      </c>
      <c r="D165" t="str">
        <f t="shared" si="11"/>
        <v>14</v>
      </c>
      <c r="E165" t="str">
        <f t="shared" si="10"/>
        <v>2033호14</v>
      </c>
    </row>
    <row r="166" spans="1:5" ht="16.5" customHeight="1" x14ac:dyDescent="0.4">
      <c r="A166">
        <v>203</v>
      </c>
      <c r="B166" s="24">
        <v>1404</v>
      </c>
      <c r="C166" t="str">
        <f t="shared" si="9"/>
        <v>4호</v>
      </c>
      <c r="D166" t="str">
        <f t="shared" si="11"/>
        <v>14</v>
      </c>
      <c r="E166" t="str">
        <f t="shared" si="10"/>
        <v>2034호14</v>
      </c>
    </row>
    <row r="167" spans="1:5" ht="16.5" customHeight="1" x14ac:dyDescent="0.4">
      <c r="A167">
        <v>204</v>
      </c>
      <c r="B167" s="9">
        <v>101</v>
      </c>
      <c r="C167" t="str">
        <f t="shared" si="9"/>
        <v>1호</v>
      </c>
      <c r="D167" t="str">
        <f t="shared" ref="D167:D202" si="12">LEFT(B167,1)</f>
        <v>1</v>
      </c>
      <c r="E167" t="str">
        <f t="shared" si="10"/>
        <v>2041호1</v>
      </c>
    </row>
    <row r="168" spans="1:5" ht="16.5" customHeight="1" x14ac:dyDescent="0.4">
      <c r="A168">
        <v>204</v>
      </c>
      <c r="B168" s="9">
        <v>102</v>
      </c>
      <c r="C168" t="str">
        <f t="shared" si="9"/>
        <v>2호</v>
      </c>
      <c r="D168" t="str">
        <f t="shared" si="12"/>
        <v>1</v>
      </c>
      <c r="E168" t="str">
        <f t="shared" si="10"/>
        <v>2042호1</v>
      </c>
    </row>
    <row r="169" spans="1:5" ht="16.5" customHeight="1" x14ac:dyDescent="0.4">
      <c r="A169">
        <v>204</v>
      </c>
      <c r="B169" s="9">
        <v>103</v>
      </c>
      <c r="C169" t="str">
        <f t="shared" si="9"/>
        <v>3호</v>
      </c>
      <c r="D169" t="str">
        <f t="shared" si="12"/>
        <v>1</v>
      </c>
      <c r="E169" t="str">
        <f t="shared" si="10"/>
        <v>2043호1</v>
      </c>
    </row>
    <row r="170" spans="1:5" ht="16.5" customHeight="1" x14ac:dyDescent="0.4">
      <c r="A170">
        <v>204</v>
      </c>
      <c r="B170" s="9">
        <v>104</v>
      </c>
      <c r="C170" t="str">
        <f t="shared" si="9"/>
        <v>4호</v>
      </c>
      <c r="D170" t="str">
        <f t="shared" si="12"/>
        <v>1</v>
      </c>
      <c r="E170" t="str">
        <f t="shared" si="10"/>
        <v>2044호1</v>
      </c>
    </row>
    <row r="171" spans="1:5" ht="16.5" customHeight="1" x14ac:dyDescent="0.4">
      <c r="A171">
        <v>204</v>
      </c>
      <c r="B171" s="9">
        <v>201</v>
      </c>
      <c r="C171" t="str">
        <f t="shared" si="9"/>
        <v>1호</v>
      </c>
      <c r="D171" t="str">
        <f t="shared" si="12"/>
        <v>2</v>
      </c>
      <c r="E171" t="str">
        <f t="shared" si="10"/>
        <v>2041호2</v>
      </c>
    </row>
    <row r="172" spans="1:5" ht="16.5" customHeight="1" x14ac:dyDescent="0.4">
      <c r="A172">
        <v>204</v>
      </c>
      <c r="B172" s="9">
        <v>202</v>
      </c>
      <c r="C172" t="str">
        <f t="shared" si="9"/>
        <v>2호</v>
      </c>
      <c r="D172" t="str">
        <f t="shared" si="12"/>
        <v>2</v>
      </c>
      <c r="E172" t="str">
        <f t="shared" si="10"/>
        <v>2042호2</v>
      </c>
    </row>
    <row r="173" spans="1:5" ht="16.5" customHeight="1" x14ac:dyDescent="0.4">
      <c r="A173">
        <v>204</v>
      </c>
      <c r="B173" s="9">
        <v>203</v>
      </c>
      <c r="C173" t="str">
        <f t="shared" si="9"/>
        <v>3호</v>
      </c>
      <c r="D173" t="str">
        <f t="shared" si="12"/>
        <v>2</v>
      </c>
      <c r="E173" t="str">
        <f t="shared" si="10"/>
        <v>2043호2</v>
      </c>
    </row>
    <row r="174" spans="1:5" ht="16.5" customHeight="1" x14ac:dyDescent="0.4">
      <c r="A174">
        <v>204</v>
      </c>
      <c r="B174" s="9">
        <v>204</v>
      </c>
      <c r="C174" t="str">
        <f t="shared" si="9"/>
        <v>4호</v>
      </c>
      <c r="D174" t="str">
        <f t="shared" si="12"/>
        <v>2</v>
      </c>
      <c r="E174" t="str">
        <f t="shared" si="10"/>
        <v>2044호2</v>
      </c>
    </row>
    <row r="175" spans="1:5" ht="16.5" customHeight="1" x14ac:dyDescent="0.4">
      <c r="A175">
        <v>204</v>
      </c>
      <c r="B175" s="9">
        <v>301</v>
      </c>
      <c r="C175" t="str">
        <f t="shared" si="9"/>
        <v>1호</v>
      </c>
      <c r="D175" t="str">
        <f t="shared" si="12"/>
        <v>3</v>
      </c>
      <c r="E175" t="str">
        <f t="shared" si="10"/>
        <v>2041호3</v>
      </c>
    </row>
    <row r="176" spans="1:5" ht="16.5" customHeight="1" x14ac:dyDescent="0.4">
      <c r="A176">
        <v>204</v>
      </c>
      <c r="B176" s="9">
        <v>302</v>
      </c>
      <c r="C176" t="str">
        <f t="shared" si="9"/>
        <v>2호</v>
      </c>
      <c r="D176" t="str">
        <f t="shared" si="12"/>
        <v>3</v>
      </c>
      <c r="E176" t="str">
        <f t="shared" si="10"/>
        <v>2042호3</v>
      </c>
    </row>
    <row r="177" spans="1:5" ht="16.5" customHeight="1" x14ac:dyDescent="0.4">
      <c r="A177">
        <v>204</v>
      </c>
      <c r="B177" s="9">
        <v>303</v>
      </c>
      <c r="C177" t="str">
        <f t="shared" si="9"/>
        <v>3호</v>
      </c>
      <c r="D177" t="str">
        <f t="shared" si="12"/>
        <v>3</v>
      </c>
      <c r="E177" t="str">
        <f t="shared" si="10"/>
        <v>2043호3</v>
      </c>
    </row>
    <row r="178" spans="1:5" ht="16.5" customHeight="1" x14ac:dyDescent="0.4">
      <c r="A178">
        <v>204</v>
      </c>
      <c r="B178" s="9">
        <v>304</v>
      </c>
      <c r="C178" t="str">
        <f t="shared" si="9"/>
        <v>4호</v>
      </c>
      <c r="D178" t="str">
        <f t="shared" si="12"/>
        <v>3</v>
      </c>
      <c r="E178" t="str">
        <f t="shared" si="10"/>
        <v>2044호3</v>
      </c>
    </row>
    <row r="179" spans="1:5" ht="16.5" customHeight="1" x14ac:dyDescent="0.4">
      <c r="A179">
        <v>204</v>
      </c>
      <c r="B179" s="9">
        <v>401</v>
      </c>
      <c r="C179" t="str">
        <f t="shared" si="9"/>
        <v>1호</v>
      </c>
      <c r="D179" t="str">
        <f t="shared" si="12"/>
        <v>4</v>
      </c>
      <c r="E179" t="str">
        <f t="shared" si="10"/>
        <v>2041호4</v>
      </c>
    </row>
    <row r="180" spans="1:5" ht="16.5" customHeight="1" x14ac:dyDescent="0.4">
      <c r="A180">
        <v>204</v>
      </c>
      <c r="B180" s="22">
        <v>402</v>
      </c>
      <c r="C180" t="str">
        <f t="shared" si="9"/>
        <v>2호</v>
      </c>
      <c r="D180" t="str">
        <f t="shared" si="12"/>
        <v>4</v>
      </c>
      <c r="E180" t="str">
        <f t="shared" si="10"/>
        <v>2042호4</v>
      </c>
    </row>
    <row r="181" spans="1:5" ht="16.5" customHeight="1" x14ac:dyDescent="0.4">
      <c r="A181">
        <v>204</v>
      </c>
      <c r="B181" s="11">
        <v>403</v>
      </c>
      <c r="C181" t="str">
        <f t="shared" si="9"/>
        <v>3호</v>
      </c>
      <c r="D181" t="str">
        <f t="shared" si="12"/>
        <v>4</v>
      </c>
      <c r="E181" t="str">
        <f t="shared" si="10"/>
        <v>2043호4</v>
      </c>
    </row>
    <row r="182" spans="1:5" ht="16.5" customHeight="1" x14ac:dyDescent="0.4">
      <c r="A182">
        <v>204</v>
      </c>
      <c r="B182" s="11">
        <v>404</v>
      </c>
      <c r="C182" t="str">
        <f t="shared" si="9"/>
        <v>4호</v>
      </c>
      <c r="D182" t="str">
        <f t="shared" si="12"/>
        <v>4</v>
      </c>
      <c r="E182" t="str">
        <f t="shared" si="10"/>
        <v>2044호4</v>
      </c>
    </row>
    <row r="183" spans="1:5" ht="16.5" customHeight="1" x14ac:dyDescent="0.4">
      <c r="A183">
        <v>204</v>
      </c>
      <c r="B183" s="11">
        <v>501</v>
      </c>
      <c r="C183" t="str">
        <f t="shared" si="9"/>
        <v>1호</v>
      </c>
      <c r="D183" t="str">
        <f t="shared" si="12"/>
        <v>5</v>
      </c>
      <c r="E183" t="str">
        <f t="shared" si="10"/>
        <v>2041호5</v>
      </c>
    </row>
    <row r="184" spans="1:5" ht="16.5" customHeight="1" x14ac:dyDescent="0.4">
      <c r="A184">
        <v>204</v>
      </c>
      <c r="B184" s="11">
        <v>502</v>
      </c>
      <c r="C184" t="str">
        <f t="shared" si="9"/>
        <v>2호</v>
      </c>
      <c r="D184" t="str">
        <f t="shared" si="12"/>
        <v>5</v>
      </c>
      <c r="E184" t="str">
        <f t="shared" si="10"/>
        <v>2042호5</v>
      </c>
    </row>
    <row r="185" spans="1:5" ht="16.5" customHeight="1" x14ac:dyDescent="0.4">
      <c r="A185">
        <v>204</v>
      </c>
      <c r="B185" s="11">
        <v>503</v>
      </c>
      <c r="C185" t="str">
        <f t="shared" si="9"/>
        <v>3호</v>
      </c>
      <c r="D185" t="str">
        <f t="shared" si="12"/>
        <v>5</v>
      </c>
      <c r="E185" t="str">
        <f t="shared" si="10"/>
        <v>2043호5</v>
      </c>
    </row>
    <row r="186" spans="1:5" ht="16.5" customHeight="1" x14ac:dyDescent="0.4">
      <c r="A186">
        <v>204</v>
      </c>
      <c r="B186" s="11">
        <v>504</v>
      </c>
      <c r="C186" t="str">
        <f t="shared" si="9"/>
        <v>4호</v>
      </c>
      <c r="D186" t="str">
        <f t="shared" si="12"/>
        <v>5</v>
      </c>
      <c r="E186" t="str">
        <f t="shared" si="10"/>
        <v>2044호5</v>
      </c>
    </row>
    <row r="187" spans="1:5" ht="16.5" customHeight="1" x14ac:dyDescent="0.4">
      <c r="A187">
        <v>204</v>
      </c>
      <c r="B187" s="11">
        <v>601</v>
      </c>
      <c r="C187" t="str">
        <f t="shared" si="9"/>
        <v>1호</v>
      </c>
      <c r="D187" t="str">
        <f t="shared" si="12"/>
        <v>6</v>
      </c>
      <c r="E187" t="str">
        <f t="shared" si="10"/>
        <v>2041호6</v>
      </c>
    </row>
    <row r="188" spans="1:5" ht="16.5" customHeight="1" x14ac:dyDescent="0.4">
      <c r="A188">
        <v>204</v>
      </c>
      <c r="B188" s="11">
        <v>602</v>
      </c>
      <c r="C188" t="str">
        <f t="shared" si="9"/>
        <v>2호</v>
      </c>
      <c r="D188" t="str">
        <f t="shared" si="12"/>
        <v>6</v>
      </c>
      <c r="E188" t="str">
        <f t="shared" si="10"/>
        <v>2042호6</v>
      </c>
    </row>
    <row r="189" spans="1:5" ht="16.5" customHeight="1" x14ac:dyDescent="0.4">
      <c r="A189">
        <v>204</v>
      </c>
      <c r="B189" s="11">
        <v>603</v>
      </c>
      <c r="C189" t="str">
        <f t="shared" si="9"/>
        <v>3호</v>
      </c>
      <c r="D189" t="str">
        <f t="shared" si="12"/>
        <v>6</v>
      </c>
      <c r="E189" t="str">
        <f t="shared" si="10"/>
        <v>2043호6</v>
      </c>
    </row>
    <row r="190" spans="1:5" ht="16.5" customHeight="1" x14ac:dyDescent="0.4">
      <c r="A190">
        <v>204</v>
      </c>
      <c r="B190" s="11">
        <v>604</v>
      </c>
      <c r="C190" t="str">
        <f t="shared" si="9"/>
        <v>4호</v>
      </c>
      <c r="D190" t="str">
        <f t="shared" si="12"/>
        <v>6</v>
      </c>
      <c r="E190" t="str">
        <f t="shared" si="10"/>
        <v>2044호6</v>
      </c>
    </row>
    <row r="191" spans="1:5" ht="16.5" customHeight="1" x14ac:dyDescent="0.4">
      <c r="A191">
        <v>204</v>
      </c>
      <c r="B191" s="11">
        <v>701</v>
      </c>
      <c r="C191" t="str">
        <f t="shared" si="9"/>
        <v>1호</v>
      </c>
      <c r="D191" t="str">
        <f t="shared" si="12"/>
        <v>7</v>
      </c>
      <c r="E191" t="str">
        <f t="shared" si="10"/>
        <v>2041호7</v>
      </c>
    </row>
    <row r="192" spans="1:5" ht="16.5" customHeight="1" x14ac:dyDescent="0.4">
      <c r="A192">
        <v>204</v>
      </c>
      <c r="B192" s="11">
        <v>702</v>
      </c>
      <c r="C192" t="str">
        <f t="shared" si="9"/>
        <v>2호</v>
      </c>
      <c r="D192" t="str">
        <f t="shared" si="12"/>
        <v>7</v>
      </c>
      <c r="E192" t="str">
        <f t="shared" si="10"/>
        <v>2042호7</v>
      </c>
    </row>
    <row r="193" spans="1:5" ht="16.5" customHeight="1" x14ac:dyDescent="0.4">
      <c r="A193">
        <v>204</v>
      </c>
      <c r="B193" s="11">
        <v>703</v>
      </c>
      <c r="C193" t="str">
        <f t="shared" si="9"/>
        <v>3호</v>
      </c>
      <c r="D193" t="str">
        <f t="shared" si="12"/>
        <v>7</v>
      </c>
      <c r="E193" t="str">
        <f t="shared" si="10"/>
        <v>2043호7</v>
      </c>
    </row>
    <row r="194" spans="1:5" ht="16.5" customHeight="1" x14ac:dyDescent="0.4">
      <c r="A194">
        <v>204</v>
      </c>
      <c r="B194" s="24">
        <v>704</v>
      </c>
      <c r="C194" t="str">
        <f t="shared" si="9"/>
        <v>4호</v>
      </c>
      <c r="D194" t="str">
        <f t="shared" si="12"/>
        <v>7</v>
      </c>
      <c r="E194" t="str">
        <f t="shared" si="10"/>
        <v>2044호7</v>
      </c>
    </row>
    <row r="195" spans="1:5" ht="16.5" customHeight="1" x14ac:dyDescent="0.4">
      <c r="A195">
        <v>204</v>
      </c>
      <c r="B195" s="11">
        <v>801</v>
      </c>
      <c r="C195" t="str">
        <f t="shared" si="9"/>
        <v>1호</v>
      </c>
      <c r="D195" t="str">
        <f t="shared" si="12"/>
        <v>8</v>
      </c>
      <c r="E195" t="str">
        <f t="shared" si="10"/>
        <v>2041호8</v>
      </c>
    </row>
    <row r="196" spans="1:5" ht="16.5" customHeight="1" x14ac:dyDescent="0.4">
      <c r="A196">
        <v>204</v>
      </c>
      <c r="B196" s="11">
        <v>802</v>
      </c>
      <c r="C196" t="str">
        <f t="shared" ref="C196:C259" si="13">RIGHT(B196,1)&amp;"호"</f>
        <v>2호</v>
      </c>
      <c r="D196" t="str">
        <f t="shared" si="12"/>
        <v>8</v>
      </c>
      <c r="E196" t="str">
        <f t="shared" ref="E196:E259" si="14">A196&amp;C196&amp;D196</f>
        <v>2042호8</v>
      </c>
    </row>
    <row r="197" spans="1:5" ht="16.5" customHeight="1" x14ac:dyDescent="0.4">
      <c r="A197">
        <v>204</v>
      </c>
      <c r="B197" s="11">
        <v>803</v>
      </c>
      <c r="C197" t="str">
        <f t="shared" si="13"/>
        <v>3호</v>
      </c>
      <c r="D197" t="str">
        <f t="shared" si="12"/>
        <v>8</v>
      </c>
      <c r="E197" t="str">
        <f t="shared" si="14"/>
        <v>2043호8</v>
      </c>
    </row>
    <row r="198" spans="1:5" ht="16.5" customHeight="1" x14ac:dyDescent="0.4">
      <c r="A198">
        <v>204</v>
      </c>
      <c r="B198" s="11">
        <v>804</v>
      </c>
      <c r="C198" t="str">
        <f t="shared" si="13"/>
        <v>4호</v>
      </c>
      <c r="D198" t="str">
        <f t="shared" si="12"/>
        <v>8</v>
      </c>
      <c r="E198" t="str">
        <f t="shared" si="14"/>
        <v>2044호8</v>
      </c>
    </row>
    <row r="199" spans="1:5" ht="16.5" customHeight="1" x14ac:dyDescent="0.4">
      <c r="A199">
        <v>204</v>
      </c>
      <c r="B199" s="11">
        <v>901</v>
      </c>
      <c r="C199" t="str">
        <f t="shared" si="13"/>
        <v>1호</v>
      </c>
      <c r="D199" t="str">
        <f t="shared" si="12"/>
        <v>9</v>
      </c>
      <c r="E199" t="str">
        <f t="shared" si="14"/>
        <v>2041호9</v>
      </c>
    </row>
    <row r="200" spans="1:5" ht="16.5" customHeight="1" x14ac:dyDescent="0.4">
      <c r="A200">
        <v>204</v>
      </c>
      <c r="B200" s="11">
        <v>902</v>
      </c>
      <c r="C200" t="str">
        <f t="shared" si="13"/>
        <v>2호</v>
      </c>
      <c r="D200" t="str">
        <f t="shared" si="12"/>
        <v>9</v>
      </c>
      <c r="E200" t="str">
        <f t="shared" si="14"/>
        <v>2042호9</v>
      </c>
    </row>
    <row r="201" spans="1:5" ht="16.5" customHeight="1" x14ac:dyDescent="0.4">
      <c r="A201">
        <v>204</v>
      </c>
      <c r="B201" s="11">
        <v>903</v>
      </c>
      <c r="C201" t="str">
        <f t="shared" si="13"/>
        <v>3호</v>
      </c>
      <c r="D201" t="str">
        <f t="shared" si="12"/>
        <v>9</v>
      </c>
      <c r="E201" t="str">
        <f t="shared" si="14"/>
        <v>2043호9</v>
      </c>
    </row>
    <row r="202" spans="1:5" ht="16.5" customHeight="1" x14ac:dyDescent="0.4">
      <c r="A202">
        <v>204</v>
      </c>
      <c r="B202" s="11">
        <v>904</v>
      </c>
      <c r="C202" t="str">
        <f t="shared" si="13"/>
        <v>4호</v>
      </c>
      <c r="D202" t="str">
        <f t="shared" si="12"/>
        <v>9</v>
      </c>
      <c r="E202" t="str">
        <f t="shared" si="14"/>
        <v>2044호9</v>
      </c>
    </row>
    <row r="203" spans="1:5" ht="16.5" customHeight="1" x14ac:dyDescent="0.4">
      <c r="A203">
        <v>204</v>
      </c>
      <c r="B203" s="11">
        <v>1001</v>
      </c>
      <c r="C203" t="str">
        <f t="shared" si="13"/>
        <v>1호</v>
      </c>
      <c r="D203" t="str">
        <f t="shared" ref="D203:D222" si="15">LEFT(B203,2)</f>
        <v>10</v>
      </c>
      <c r="E203" t="str">
        <f t="shared" si="14"/>
        <v>2041호10</v>
      </c>
    </row>
    <row r="204" spans="1:5" ht="16.5" customHeight="1" x14ac:dyDescent="0.4">
      <c r="A204">
        <v>204</v>
      </c>
      <c r="B204" s="11">
        <v>1002</v>
      </c>
      <c r="C204" t="str">
        <f t="shared" si="13"/>
        <v>2호</v>
      </c>
      <c r="D204" t="str">
        <f t="shared" si="15"/>
        <v>10</v>
      </c>
      <c r="E204" t="str">
        <f t="shared" si="14"/>
        <v>2042호10</v>
      </c>
    </row>
    <row r="205" spans="1:5" ht="16.5" customHeight="1" x14ac:dyDescent="0.4">
      <c r="A205">
        <v>204</v>
      </c>
      <c r="B205" s="11">
        <v>1003</v>
      </c>
      <c r="C205" t="str">
        <f t="shared" si="13"/>
        <v>3호</v>
      </c>
      <c r="D205" t="str">
        <f t="shared" si="15"/>
        <v>10</v>
      </c>
      <c r="E205" t="str">
        <f t="shared" si="14"/>
        <v>2043호10</v>
      </c>
    </row>
    <row r="206" spans="1:5" ht="16.5" customHeight="1" x14ac:dyDescent="0.4">
      <c r="A206">
        <v>204</v>
      </c>
      <c r="B206" s="11">
        <v>1004</v>
      </c>
      <c r="C206" t="str">
        <f t="shared" si="13"/>
        <v>4호</v>
      </c>
      <c r="D206" t="str">
        <f t="shared" si="15"/>
        <v>10</v>
      </c>
      <c r="E206" t="str">
        <f t="shared" si="14"/>
        <v>2044호10</v>
      </c>
    </row>
    <row r="207" spans="1:5" ht="16.5" customHeight="1" x14ac:dyDescent="0.4">
      <c r="A207">
        <v>204</v>
      </c>
      <c r="B207" s="11">
        <v>1101</v>
      </c>
      <c r="C207" t="str">
        <f t="shared" si="13"/>
        <v>1호</v>
      </c>
      <c r="D207" t="str">
        <f t="shared" si="15"/>
        <v>11</v>
      </c>
      <c r="E207" t="str">
        <f t="shared" si="14"/>
        <v>2041호11</v>
      </c>
    </row>
    <row r="208" spans="1:5" ht="16.5" customHeight="1" x14ac:dyDescent="0.4">
      <c r="A208">
        <v>204</v>
      </c>
      <c r="B208" s="24">
        <v>1102</v>
      </c>
      <c r="C208" t="str">
        <f t="shared" si="13"/>
        <v>2호</v>
      </c>
      <c r="D208" t="str">
        <f t="shared" si="15"/>
        <v>11</v>
      </c>
      <c r="E208" t="str">
        <f t="shared" si="14"/>
        <v>2042호11</v>
      </c>
    </row>
    <row r="209" spans="1:5" ht="16.5" customHeight="1" x14ac:dyDescent="0.4">
      <c r="A209">
        <v>204</v>
      </c>
      <c r="B209" s="11">
        <v>1103</v>
      </c>
      <c r="C209" t="str">
        <f t="shared" si="13"/>
        <v>3호</v>
      </c>
      <c r="D209" t="str">
        <f t="shared" si="15"/>
        <v>11</v>
      </c>
      <c r="E209" t="str">
        <f t="shared" si="14"/>
        <v>2043호11</v>
      </c>
    </row>
    <row r="210" spans="1:5" ht="16.5" customHeight="1" x14ac:dyDescent="0.4">
      <c r="A210">
        <v>204</v>
      </c>
      <c r="B210" s="11">
        <v>1104</v>
      </c>
      <c r="C210" t="str">
        <f t="shared" si="13"/>
        <v>4호</v>
      </c>
      <c r="D210" t="str">
        <f t="shared" si="15"/>
        <v>11</v>
      </c>
      <c r="E210" t="str">
        <f t="shared" si="14"/>
        <v>2044호11</v>
      </c>
    </row>
    <row r="211" spans="1:5" ht="16.5" customHeight="1" x14ac:dyDescent="0.4">
      <c r="A211">
        <v>204</v>
      </c>
      <c r="B211" s="11">
        <v>1201</v>
      </c>
      <c r="C211" t="str">
        <f t="shared" si="13"/>
        <v>1호</v>
      </c>
      <c r="D211" t="str">
        <f t="shared" si="15"/>
        <v>12</v>
      </c>
      <c r="E211" t="str">
        <f t="shared" si="14"/>
        <v>2041호12</v>
      </c>
    </row>
    <row r="212" spans="1:5" ht="16.5" customHeight="1" x14ac:dyDescent="0.4">
      <c r="A212">
        <v>204</v>
      </c>
      <c r="B212" s="11">
        <v>1202</v>
      </c>
      <c r="C212" t="str">
        <f t="shared" si="13"/>
        <v>2호</v>
      </c>
      <c r="D212" t="str">
        <f t="shared" si="15"/>
        <v>12</v>
      </c>
      <c r="E212" t="str">
        <f t="shared" si="14"/>
        <v>2042호12</v>
      </c>
    </row>
    <row r="213" spans="1:5" ht="16.5" customHeight="1" x14ac:dyDescent="0.4">
      <c r="A213">
        <v>204</v>
      </c>
      <c r="B213" s="11">
        <v>1203</v>
      </c>
      <c r="C213" t="str">
        <f t="shared" si="13"/>
        <v>3호</v>
      </c>
      <c r="D213" t="str">
        <f t="shared" si="15"/>
        <v>12</v>
      </c>
      <c r="E213" t="str">
        <f t="shared" si="14"/>
        <v>2043호12</v>
      </c>
    </row>
    <row r="214" spans="1:5" ht="16.5" customHeight="1" x14ac:dyDescent="0.4">
      <c r="A214">
        <v>204</v>
      </c>
      <c r="B214" s="11">
        <v>1204</v>
      </c>
      <c r="C214" t="str">
        <f t="shared" si="13"/>
        <v>4호</v>
      </c>
      <c r="D214" t="str">
        <f t="shared" si="15"/>
        <v>12</v>
      </c>
      <c r="E214" t="str">
        <f t="shared" si="14"/>
        <v>2044호12</v>
      </c>
    </row>
    <row r="215" spans="1:5" ht="16.5" customHeight="1" x14ac:dyDescent="0.4">
      <c r="A215">
        <v>204</v>
      </c>
      <c r="B215" s="11">
        <v>1301</v>
      </c>
      <c r="C215" t="str">
        <f t="shared" si="13"/>
        <v>1호</v>
      </c>
      <c r="D215" t="str">
        <f t="shared" si="15"/>
        <v>13</v>
      </c>
      <c r="E215" t="str">
        <f t="shared" si="14"/>
        <v>2041호13</v>
      </c>
    </row>
    <row r="216" spans="1:5" ht="16.5" customHeight="1" x14ac:dyDescent="0.4">
      <c r="A216">
        <v>204</v>
      </c>
      <c r="B216" s="11">
        <v>1302</v>
      </c>
      <c r="C216" t="str">
        <f t="shared" si="13"/>
        <v>2호</v>
      </c>
      <c r="D216" t="str">
        <f t="shared" si="15"/>
        <v>13</v>
      </c>
      <c r="E216" t="str">
        <f t="shared" si="14"/>
        <v>2042호13</v>
      </c>
    </row>
    <row r="217" spans="1:5" ht="16.5" customHeight="1" x14ac:dyDescent="0.4">
      <c r="A217">
        <v>204</v>
      </c>
      <c r="B217" s="11">
        <v>1303</v>
      </c>
      <c r="C217" t="str">
        <f t="shared" si="13"/>
        <v>3호</v>
      </c>
      <c r="D217" t="str">
        <f t="shared" si="15"/>
        <v>13</v>
      </c>
      <c r="E217" t="str">
        <f t="shared" si="14"/>
        <v>2043호13</v>
      </c>
    </row>
    <row r="218" spans="1:5" ht="16.5" customHeight="1" x14ac:dyDescent="0.4">
      <c r="A218">
        <v>204</v>
      </c>
      <c r="B218" s="11">
        <v>1304</v>
      </c>
      <c r="C218" t="str">
        <f t="shared" si="13"/>
        <v>4호</v>
      </c>
      <c r="D218" t="str">
        <f t="shared" si="15"/>
        <v>13</v>
      </c>
      <c r="E218" t="str">
        <f t="shared" si="14"/>
        <v>2044호13</v>
      </c>
    </row>
    <row r="219" spans="1:5" ht="16.5" customHeight="1" x14ac:dyDescent="0.4">
      <c r="A219">
        <v>204</v>
      </c>
      <c r="B219" s="11">
        <v>1401</v>
      </c>
      <c r="C219" t="str">
        <f t="shared" si="13"/>
        <v>1호</v>
      </c>
      <c r="D219" t="str">
        <f t="shared" si="15"/>
        <v>14</v>
      </c>
      <c r="E219" t="str">
        <f t="shared" si="14"/>
        <v>2041호14</v>
      </c>
    </row>
    <row r="220" spans="1:5" ht="16.5" customHeight="1" x14ac:dyDescent="0.4">
      <c r="A220">
        <v>204</v>
      </c>
      <c r="B220" s="11">
        <v>1402</v>
      </c>
      <c r="C220" t="str">
        <f t="shared" si="13"/>
        <v>2호</v>
      </c>
      <c r="D220" t="str">
        <f t="shared" si="15"/>
        <v>14</v>
      </c>
      <c r="E220" t="str">
        <f t="shared" si="14"/>
        <v>2042호14</v>
      </c>
    </row>
    <row r="221" spans="1:5" ht="16.5" customHeight="1" x14ac:dyDescent="0.4">
      <c r="A221">
        <v>204</v>
      </c>
      <c r="B221" s="11">
        <v>1403</v>
      </c>
      <c r="C221" t="str">
        <f t="shared" si="13"/>
        <v>3호</v>
      </c>
      <c r="D221" t="str">
        <f t="shared" si="15"/>
        <v>14</v>
      </c>
      <c r="E221" t="str">
        <f t="shared" si="14"/>
        <v>2043호14</v>
      </c>
    </row>
    <row r="222" spans="1:5" ht="16.5" customHeight="1" x14ac:dyDescent="0.4">
      <c r="A222">
        <v>204</v>
      </c>
      <c r="B222" s="24">
        <v>1404</v>
      </c>
      <c r="C222" t="str">
        <f t="shared" si="13"/>
        <v>4호</v>
      </c>
      <c r="D222" t="str">
        <f t="shared" si="15"/>
        <v>14</v>
      </c>
      <c r="E222" t="str">
        <f t="shared" si="14"/>
        <v>2044호14</v>
      </c>
    </row>
    <row r="223" spans="1:5" ht="16.5" customHeight="1" x14ac:dyDescent="0.4">
      <c r="A223">
        <v>205</v>
      </c>
      <c r="B223" s="9">
        <v>102</v>
      </c>
      <c r="C223" t="str">
        <f t="shared" si="13"/>
        <v>2호</v>
      </c>
      <c r="D223" t="str">
        <f t="shared" ref="D223:D257" si="16">LEFT(B223,1)</f>
        <v>1</v>
      </c>
      <c r="E223" t="str">
        <f t="shared" si="14"/>
        <v>2052호1</v>
      </c>
    </row>
    <row r="224" spans="1:5" ht="16.5" customHeight="1" x14ac:dyDescent="0.4">
      <c r="A224">
        <v>205</v>
      </c>
      <c r="B224" s="9">
        <v>103</v>
      </c>
      <c r="C224" t="str">
        <f t="shared" si="13"/>
        <v>3호</v>
      </c>
      <c r="D224" t="str">
        <f t="shared" si="16"/>
        <v>1</v>
      </c>
      <c r="E224" t="str">
        <f t="shared" si="14"/>
        <v>2053호1</v>
      </c>
    </row>
    <row r="225" spans="1:5" ht="16.5" customHeight="1" x14ac:dyDescent="0.4">
      <c r="A225">
        <v>205</v>
      </c>
      <c r="B225" s="9">
        <v>104</v>
      </c>
      <c r="C225" t="str">
        <f t="shared" si="13"/>
        <v>4호</v>
      </c>
      <c r="D225" t="str">
        <f t="shared" si="16"/>
        <v>1</v>
      </c>
      <c r="E225" t="str">
        <f t="shared" si="14"/>
        <v>2054호1</v>
      </c>
    </row>
    <row r="226" spans="1:5" ht="16.5" customHeight="1" x14ac:dyDescent="0.4">
      <c r="A226">
        <v>205</v>
      </c>
      <c r="B226" s="9">
        <v>201</v>
      </c>
      <c r="C226" t="str">
        <f t="shared" si="13"/>
        <v>1호</v>
      </c>
      <c r="D226" t="str">
        <f t="shared" si="16"/>
        <v>2</v>
      </c>
      <c r="E226" t="str">
        <f t="shared" si="14"/>
        <v>2051호2</v>
      </c>
    </row>
    <row r="227" spans="1:5" ht="16.5" customHeight="1" x14ac:dyDescent="0.4">
      <c r="A227">
        <v>205</v>
      </c>
      <c r="B227" s="9">
        <v>202</v>
      </c>
      <c r="C227" t="str">
        <f t="shared" si="13"/>
        <v>2호</v>
      </c>
      <c r="D227" t="str">
        <f t="shared" si="16"/>
        <v>2</v>
      </c>
      <c r="E227" t="str">
        <f t="shared" si="14"/>
        <v>2052호2</v>
      </c>
    </row>
    <row r="228" spans="1:5" ht="16.5" customHeight="1" x14ac:dyDescent="0.4">
      <c r="A228">
        <v>205</v>
      </c>
      <c r="B228" s="9">
        <v>203</v>
      </c>
      <c r="C228" t="str">
        <f t="shared" si="13"/>
        <v>3호</v>
      </c>
      <c r="D228" t="str">
        <f t="shared" si="16"/>
        <v>2</v>
      </c>
      <c r="E228" t="str">
        <f t="shared" si="14"/>
        <v>2053호2</v>
      </c>
    </row>
    <row r="229" spans="1:5" ht="16.5" customHeight="1" x14ac:dyDescent="0.4">
      <c r="A229">
        <v>205</v>
      </c>
      <c r="B229" s="9">
        <v>204</v>
      </c>
      <c r="C229" t="str">
        <f t="shared" si="13"/>
        <v>4호</v>
      </c>
      <c r="D229" t="str">
        <f t="shared" si="16"/>
        <v>2</v>
      </c>
      <c r="E229" t="str">
        <f t="shared" si="14"/>
        <v>2054호2</v>
      </c>
    </row>
    <row r="230" spans="1:5" ht="16.5" customHeight="1" x14ac:dyDescent="0.4">
      <c r="A230">
        <v>205</v>
      </c>
      <c r="B230" s="9">
        <v>301</v>
      </c>
      <c r="C230" t="str">
        <f t="shared" si="13"/>
        <v>1호</v>
      </c>
      <c r="D230" t="str">
        <f t="shared" si="16"/>
        <v>3</v>
      </c>
      <c r="E230" t="str">
        <f t="shared" si="14"/>
        <v>2051호3</v>
      </c>
    </row>
    <row r="231" spans="1:5" ht="16.5" customHeight="1" x14ac:dyDescent="0.4">
      <c r="A231">
        <v>205</v>
      </c>
      <c r="B231" s="9">
        <v>302</v>
      </c>
      <c r="C231" t="str">
        <f t="shared" si="13"/>
        <v>2호</v>
      </c>
      <c r="D231" t="str">
        <f t="shared" si="16"/>
        <v>3</v>
      </c>
      <c r="E231" t="str">
        <f t="shared" si="14"/>
        <v>2052호3</v>
      </c>
    </row>
    <row r="232" spans="1:5" ht="16.5" customHeight="1" x14ac:dyDescent="0.4">
      <c r="A232">
        <v>205</v>
      </c>
      <c r="B232" s="9">
        <v>303</v>
      </c>
      <c r="C232" t="str">
        <f t="shared" si="13"/>
        <v>3호</v>
      </c>
      <c r="D232" t="str">
        <f t="shared" si="16"/>
        <v>3</v>
      </c>
      <c r="E232" t="str">
        <f t="shared" si="14"/>
        <v>2053호3</v>
      </c>
    </row>
    <row r="233" spans="1:5" ht="16.5" customHeight="1" x14ac:dyDescent="0.4">
      <c r="A233">
        <v>205</v>
      </c>
      <c r="B233" s="9">
        <v>304</v>
      </c>
      <c r="C233" t="str">
        <f t="shared" si="13"/>
        <v>4호</v>
      </c>
      <c r="D233" t="str">
        <f t="shared" si="16"/>
        <v>3</v>
      </c>
      <c r="E233" t="str">
        <f t="shared" si="14"/>
        <v>2054호3</v>
      </c>
    </row>
    <row r="234" spans="1:5" ht="16.5" customHeight="1" x14ac:dyDescent="0.4">
      <c r="A234">
        <v>205</v>
      </c>
      <c r="B234" s="9">
        <v>401</v>
      </c>
      <c r="C234" t="str">
        <f t="shared" si="13"/>
        <v>1호</v>
      </c>
      <c r="D234" t="str">
        <f t="shared" si="16"/>
        <v>4</v>
      </c>
      <c r="E234" t="str">
        <f t="shared" si="14"/>
        <v>2051호4</v>
      </c>
    </row>
    <row r="235" spans="1:5" ht="16.5" customHeight="1" x14ac:dyDescent="0.4">
      <c r="A235">
        <v>205</v>
      </c>
      <c r="B235" s="9">
        <v>402</v>
      </c>
      <c r="C235" t="str">
        <f t="shared" si="13"/>
        <v>2호</v>
      </c>
      <c r="D235" t="str">
        <f t="shared" si="16"/>
        <v>4</v>
      </c>
      <c r="E235" t="str">
        <f t="shared" si="14"/>
        <v>2052호4</v>
      </c>
    </row>
    <row r="236" spans="1:5" ht="16.5" customHeight="1" x14ac:dyDescent="0.4">
      <c r="A236">
        <v>205</v>
      </c>
      <c r="B236" s="11">
        <v>403</v>
      </c>
      <c r="C236" t="str">
        <f t="shared" si="13"/>
        <v>3호</v>
      </c>
      <c r="D236" t="str">
        <f t="shared" si="16"/>
        <v>4</v>
      </c>
      <c r="E236" t="str">
        <f t="shared" si="14"/>
        <v>2053호4</v>
      </c>
    </row>
    <row r="237" spans="1:5" ht="16.5" customHeight="1" x14ac:dyDescent="0.4">
      <c r="A237">
        <v>205</v>
      </c>
      <c r="B237" s="11">
        <v>404</v>
      </c>
      <c r="C237" t="str">
        <f t="shared" si="13"/>
        <v>4호</v>
      </c>
      <c r="D237" t="str">
        <f t="shared" si="16"/>
        <v>4</v>
      </c>
      <c r="E237" t="str">
        <f t="shared" si="14"/>
        <v>2054호4</v>
      </c>
    </row>
    <row r="238" spans="1:5" ht="16.5" customHeight="1" x14ac:dyDescent="0.4">
      <c r="A238">
        <v>205</v>
      </c>
      <c r="B238" s="11">
        <v>501</v>
      </c>
      <c r="C238" t="str">
        <f t="shared" si="13"/>
        <v>1호</v>
      </c>
      <c r="D238" t="str">
        <f t="shared" si="16"/>
        <v>5</v>
      </c>
      <c r="E238" t="str">
        <f t="shared" si="14"/>
        <v>2051호5</v>
      </c>
    </row>
    <row r="239" spans="1:5" ht="16.5" customHeight="1" x14ac:dyDescent="0.4">
      <c r="A239">
        <v>205</v>
      </c>
      <c r="B239" s="11">
        <v>502</v>
      </c>
      <c r="C239" t="str">
        <f t="shared" si="13"/>
        <v>2호</v>
      </c>
      <c r="D239" t="str">
        <f t="shared" si="16"/>
        <v>5</v>
      </c>
      <c r="E239" t="str">
        <f t="shared" si="14"/>
        <v>2052호5</v>
      </c>
    </row>
    <row r="240" spans="1:5" ht="16.5" customHeight="1" x14ac:dyDescent="0.4">
      <c r="A240">
        <v>205</v>
      </c>
      <c r="B240" s="11">
        <v>503</v>
      </c>
      <c r="C240" t="str">
        <f t="shared" si="13"/>
        <v>3호</v>
      </c>
      <c r="D240" t="str">
        <f t="shared" si="16"/>
        <v>5</v>
      </c>
      <c r="E240" t="str">
        <f t="shared" si="14"/>
        <v>2053호5</v>
      </c>
    </row>
    <row r="241" spans="1:5" ht="16.5" customHeight="1" x14ac:dyDescent="0.4">
      <c r="A241">
        <v>205</v>
      </c>
      <c r="B241" s="11">
        <v>504</v>
      </c>
      <c r="C241" t="str">
        <f t="shared" si="13"/>
        <v>4호</v>
      </c>
      <c r="D241" t="str">
        <f t="shared" si="16"/>
        <v>5</v>
      </c>
      <c r="E241" t="str">
        <f t="shared" si="14"/>
        <v>2054호5</v>
      </c>
    </row>
    <row r="242" spans="1:5" ht="16.5" customHeight="1" x14ac:dyDescent="0.4">
      <c r="A242">
        <v>205</v>
      </c>
      <c r="B242" s="11">
        <v>601</v>
      </c>
      <c r="C242" t="str">
        <f t="shared" si="13"/>
        <v>1호</v>
      </c>
      <c r="D242" t="str">
        <f t="shared" si="16"/>
        <v>6</v>
      </c>
      <c r="E242" t="str">
        <f t="shared" si="14"/>
        <v>2051호6</v>
      </c>
    </row>
    <row r="243" spans="1:5" ht="16.5" customHeight="1" x14ac:dyDescent="0.4">
      <c r="A243">
        <v>205</v>
      </c>
      <c r="B243" s="11">
        <v>602</v>
      </c>
      <c r="C243" t="str">
        <f t="shared" si="13"/>
        <v>2호</v>
      </c>
      <c r="D243" t="str">
        <f t="shared" si="16"/>
        <v>6</v>
      </c>
      <c r="E243" t="str">
        <f t="shared" si="14"/>
        <v>2052호6</v>
      </c>
    </row>
    <row r="244" spans="1:5" ht="16.5" customHeight="1" x14ac:dyDescent="0.4">
      <c r="A244">
        <v>205</v>
      </c>
      <c r="B244" s="11">
        <v>603</v>
      </c>
      <c r="C244" t="str">
        <f t="shared" si="13"/>
        <v>3호</v>
      </c>
      <c r="D244" t="str">
        <f t="shared" si="16"/>
        <v>6</v>
      </c>
      <c r="E244" t="str">
        <f t="shared" si="14"/>
        <v>2053호6</v>
      </c>
    </row>
    <row r="245" spans="1:5" ht="16.5" customHeight="1" x14ac:dyDescent="0.4">
      <c r="A245">
        <v>205</v>
      </c>
      <c r="B245" s="11">
        <v>604</v>
      </c>
      <c r="C245" t="str">
        <f t="shared" si="13"/>
        <v>4호</v>
      </c>
      <c r="D245" t="str">
        <f t="shared" si="16"/>
        <v>6</v>
      </c>
      <c r="E245" t="str">
        <f t="shared" si="14"/>
        <v>2054호6</v>
      </c>
    </row>
    <row r="246" spans="1:5" ht="16.5" customHeight="1" x14ac:dyDescent="0.4">
      <c r="A246">
        <v>205</v>
      </c>
      <c r="B246" s="11">
        <v>701</v>
      </c>
      <c r="C246" t="str">
        <f t="shared" si="13"/>
        <v>1호</v>
      </c>
      <c r="D246" t="str">
        <f t="shared" si="16"/>
        <v>7</v>
      </c>
      <c r="E246" t="str">
        <f t="shared" si="14"/>
        <v>2051호7</v>
      </c>
    </row>
    <row r="247" spans="1:5" ht="16.5" customHeight="1" x14ac:dyDescent="0.4">
      <c r="A247">
        <v>205</v>
      </c>
      <c r="B247" s="11">
        <v>702</v>
      </c>
      <c r="C247" t="str">
        <f t="shared" si="13"/>
        <v>2호</v>
      </c>
      <c r="D247" t="str">
        <f t="shared" si="16"/>
        <v>7</v>
      </c>
      <c r="E247" t="str">
        <f t="shared" si="14"/>
        <v>2052호7</v>
      </c>
    </row>
    <row r="248" spans="1:5" ht="16.5" customHeight="1" x14ac:dyDescent="0.4">
      <c r="A248">
        <v>205</v>
      </c>
      <c r="B248" s="24">
        <v>703</v>
      </c>
      <c r="C248" t="str">
        <f t="shared" si="13"/>
        <v>3호</v>
      </c>
      <c r="D248" t="str">
        <f t="shared" si="16"/>
        <v>7</v>
      </c>
      <c r="E248" t="str">
        <f t="shared" si="14"/>
        <v>2053호7</v>
      </c>
    </row>
    <row r="249" spans="1:5" ht="16.5" customHeight="1" x14ac:dyDescent="0.4">
      <c r="A249">
        <v>205</v>
      </c>
      <c r="B249" s="11">
        <v>704</v>
      </c>
      <c r="C249" t="str">
        <f t="shared" si="13"/>
        <v>4호</v>
      </c>
      <c r="D249" t="str">
        <f t="shared" si="16"/>
        <v>7</v>
      </c>
      <c r="E249" t="str">
        <f t="shared" si="14"/>
        <v>2054호7</v>
      </c>
    </row>
    <row r="250" spans="1:5" ht="16.5" customHeight="1" x14ac:dyDescent="0.4">
      <c r="A250">
        <v>205</v>
      </c>
      <c r="B250" s="11">
        <v>801</v>
      </c>
      <c r="C250" t="str">
        <f t="shared" si="13"/>
        <v>1호</v>
      </c>
      <c r="D250" t="str">
        <f t="shared" si="16"/>
        <v>8</v>
      </c>
      <c r="E250" t="str">
        <f t="shared" si="14"/>
        <v>2051호8</v>
      </c>
    </row>
    <row r="251" spans="1:5" ht="16.5" customHeight="1" x14ac:dyDescent="0.4">
      <c r="A251">
        <v>205</v>
      </c>
      <c r="B251" s="11">
        <v>802</v>
      </c>
      <c r="C251" t="str">
        <f t="shared" si="13"/>
        <v>2호</v>
      </c>
      <c r="D251" t="str">
        <f t="shared" si="16"/>
        <v>8</v>
      </c>
      <c r="E251" t="str">
        <f t="shared" si="14"/>
        <v>2052호8</v>
      </c>
    </row>
    <row r="252" spans="1:5" ht="16.5" customHeight="1" x14ac:dyDescent="0.4">
      <c r="A252">
        <v>205</v>
      </c>
      <c r="B252" s="11">
        <v>803</v>
      </c>
      <c r="C252" t="str">
        <f t="shared" si="13"/>
        <v>3호</v>
      </c>
      <c r="D252" t="str">
        <f t="shared" si="16"/>
        <v>8</v>
      </c>
      <c r="E252" t="str">
        <f t="shared" si="14"/>
        <v>2053호8</v>
      </c>
    </row>
    <row r="253" spans="1:5" ht="16.5" customHeight="1" x14ac:dyDescent="0.4">
      <c r="A253">
        <v>205</v>
      </c>
      <c r="B253" s="11">
        <v>804</v>
      </c>
      <c r="C253" t="str">
        <f t="shared" si="13"/>
        <v>4호</v>
      </c>
      <c r="D253" t="str">
        <f t="shared" si="16"/>
        <v>8</v>
      </c>
      <c r="E253" t="str">
        <f t="shared" si="14"/>
        <v>2054호8</v>
      </c>
    </row>
    <row r="254" spans="1:5" ht="16.5" customHeight="1" x14ac:dyDescent="0.4">
      <c r="A254">
        <v>205</v>
      </c>
      <c r="B254" s="11">
        <v>901</v>
      </c>
      <c r="C254" t="str">
        <f t="shared" si="13"/>
        <v>1호</v>
      </c>
      <c r="D254" t="str">
        <f t="shared" si="16"/>
        <v>9</v>
      </c>
      <c r="E254" t="str">
        <f t="shared" si="14"/>
        <v>2051호9</v>
      </c>
    </row>
    <row r="255" spans="1:5" ht="16.5" customHeight="1" x14ac:dyDescent="0.4">
      <c r="A255">
        <v>205</v>
      </c>
      <c r="B255" s="11">
        <v>902</v>
      </c>
      <c r="C255" t="str">
        <f t="shared" si="13"/>
        <v>2호</v>
      </c>
      <c r="D255" t="str">
        <f t="shared" si="16"/>
        <v>9</v>
      </c>
      <c r="E255" t="str">
        <f t="shared" si="14"/>
        <v>2052호9</v>
      </c>
    </row>
    <row r="256" spans="1:5" ht="16.5" customHeight="1" x14ac:dyDescent="0.4">
      <c r="A256">
        <v>205</v>
      </c>
      <c r="B256" s="11">
        <v>903</v>
      </c>
      <c r="C256" t="str">
        <f t="shared" si="13"/>
        <v>3호</v>
      </c>
      <c r="D256" t="str">
        <f t="shared" si="16"/>
        <v>9</v>
      </c>
      <c r="E256" t="str">
        <f t="shared" si="14"/>
        <v>2053호9</v>
      </c>
    </row>
    <row r="257" spans="1:5" ht="16.5" customHeight="1" x14ac:dyDescent="0.4">
      <c r="A257">
        <v>205</v>
      </c>
      <c r="B257" s="11">
        <v>904</v>
      </c>
      <c r="C257" t="str">
        <f t="shared" si="13"/>
        <v>4호</v>
      </c>
      <c r="D257" t="str">
        <f t="shared" si="16"/>
        <v>9</v>
      </c>
      <c r="E257" t="str">
        <f t="shared" si="14"/>
        <v>2054호9</v>
      </c>
    </row>
    <row r="258" spans="1:5" ht="16.5" customHeight="1" x14ac:dyDescent="0.4">
      <c r="A258">
        <v>205</v>
      </c>
      <c r="B258" s="11">
        <v>1001</v>
      </c>
      <c r="C258" t="str">
        <f t="shared" si="13"/>
        <v>1호</v>
      </c>
      <c r="D258" t="str">
        <f t="shared" ref="D258:D276" si="17">LEFT(B258,2)</f>
        <v>10</v>
      </c>
      <c r="E258" t="str">
        <f t="shared" si="14"/>
        <v>2051호10</v>
      </c>
    </row>
    <row r="259" spans="1:5" ht="16.5" customHeight="1" x14ac:dyDescent="0.4">
      <c r="A259">
        <v>205</v>
      </c>
      <c r="B259" s="11">
        <v>1002</v>
      </c>
      <c r="C259" t="str">
        <f t="shared" si="13"/>
        <v>2호</v>
      </c>
      <c r="D259" t="str">
        <f t="shared" si="17"/>
        <v>10</v>
      </c>
      <c r="E259" t="str">
        <f t="shared" si="14"/>
        <v>2052호10</v>
      </c>
    </row>
    <row r="260" spans="1:5" ht="16.5" customHeight="1" x14ac:dyDescent="0.4">
      <c r="A260">
        <v>205</v>
      </c>
      <c r="B260" s="11">
        <v>1003</v>
      </c>
      <c r="C260" t="str">
        <f t="shared" ref="C260:C323" si="18">RIGHT(B260,1)&amp;"호"</f>
        <v>3호</v>
      </c>
      <c r="D260" t="str">
        <f t="shared" si="17"/>
        <v>10</v>
      </c>
      <c r="E260" t="str">
        <f t="shared" ref="E260:E323" si="19">A260&amp;C260&amp;D260</f>
        <v>2053호10</v>
      </c>
    </row>
    <row r="261" spans="1:5" ht="16.5" customHeight="1" x14ac:dyDescent="0.4">
      <c r="A261">
        <v>205</v>
      </c>
      <c r="B261" s="24">
        <v>1004</v>
      </c>
      <c r="C261" t="str">
        <f t="shared" si="18"/>
        <v>4호</v>
      </c>
      <c r="D261" t="str">
        <f t="shared" si="17"/>
        <v>10</v>
      </c>
      <c r="E261" t="str">
        <f t="shared" si="19"/>
        <v>2054호10</v>
      </c>
    </row>
    <row r="262" spans="1:5" ht="16.5" customHeight="1" x14ac:dyDescent="0.4">
      <c r="A262">
        <v>205</v>
      </c>
      <c r="B262" s="11">
        <v>1101</v>
      </c>
      <c r="C262" t="str">
        <f t="shared" si="18"/>
        <v>1호</v>
      </c>
      <c r="D262" t="str">
        <f t="shared" si="17"/>
        <v>11</v>
      </c>
      <c r="E262" t="str">
        <f t="shared" si="19"/>
        <v>2051호11</v>
      </c>
    </row>
    <row r="263" spans="1:5" ht="16.5" customHeight="1" x14ac:dyDescent="0.4">
      <c r="A263">
        <v>205</v>
      </c>
      <c r="B263" s="11">
        <v>1102</v>
      </c>
      <c r="C263" t="str">
        <f t="shared" si="18"/>
        <v>2호</v>
      </c>
      <c r="D263" t="str">
        <f t="shared" si="17"/>
        <v>11</v>
      </c>
      <c r="E263" t="str">
        <f t="shared" si="19"/>
        <v>2052호11</v>
      </c>
    </row>
    <row r="264" spans="1:5" ht="16.5" customHeight="1" x14ac:dyDescent="0.4">
      <c r="A264">
        <v>205</v>
      </c>
      <c r="B264" s="11">
        <v>1103</v>
      </c>
      <c r="C264" t="str">
        <f t="shared" si="18"/>
        <v>3호</v>
      </c>
      <c r="D264" t="str">
        <f t="shared" si="17"/>
        <v>11</v>
      </c>
      <c r="E264" t="str">
        <f t="shared" si="19"/>
        <v>2053호11</v>
      </c>
    </row>
    <row r="265" spans="1:5" ht="16.5" customHeight="1" x14ac:dyDescent="0.4">
      <c r="A265">
        <v>205</v>
      </c>
      <c r="B265" s="11">
        <v>1104</v>
      </c>
      <c r="C265" t="str">
        <f t="shared" si="18"/>
        <v>4호</v>
      </c>
      <c r="D265" t="str">
        <f t="shared" si="17"/>
        <v>11</v>
      </c>
      <c r="E265" t="str">
        <f t="shared" si="19"/>
        <v>2054호11</v>
      </c>
    </row>
    <row r="266" spans="1:5" ht="16.5" customHeight="1" x14ac:dyDescent="0.4">
      <c r="A266">
        <v>205</v>
      </c>
      <c r="B266" s="11">
        <v>1201</v>
      </c>
      <c r="C266" t="str">
        <f t="shared" si="18"/>
        <v>1호</v>
      </c>
      <c r="D266" t="str">
        <f t="shared" si="17"/>
        <v>12</v>
      </c>
      <c r="E266" t="str">
        <f t="shared" si="19"/>
        <v>2051호12</v>
      </c>
    </row>
    <row r="267" spans="1:5" ht="16.5" customHeight="1" x14ac:dyDescent="0.4">
      <c r="A267">
        <v>205</v>
      </c>
      <c r="B267" s="11">
        <v>1202</v>
      </c>
      <c r="C267" t="str">
        <f t="shared" si="18"/>
        <v>2호</v>
      </c>
      <c r="D267" t="str">
        <f t="shared" si="17"/>
        <v>12</v>
      </c>
      <c r="E267" t="str">
        <f t="shared" si="19"/>
        <v>2052호12</v>
      </c>
    </row>
    <row r="268" spans="1:5" ht="16.5" customHeight="1" x14ac:dyDescent="0.4">
      <c r="A268">
        <v>205</v>
      </c>
      <c r="B268" s="11">
        <v>1203</v>
      </c>
      <c r="C268" t="str">
        <f t="shared" si="18"/>
        <v>3호</v>
      </c>
      <c r="D268" t="str">
        <f t="shared" si="17"/>
        <v>12</v>
      </c>
      <c r="E268" t="str">
        <f t="shared" si="19"/>
        <v>2053호12</v>
      </c>
    </row>
    <row r="269" spans="1:5" ht="16.5" customHeight="1" x14ac:dyDescent="0.4">
      <c r="A269">
        <v>205</v>
      </c>
      <c r="B269" s="11">
        <v>1204</v>
      </c>
      <c r="C269" t="str">
        <f t="shared" si="18"/>
        <v>4호</v>
      </c>
      <c r="D269" t="str">
        <f t="shared" si="17"/>
        <v>12</v>
      </c>
      <c r="E269" t="str">
        <f t="shared" si="19"/>
        <v>2054호12</v>
      </c>
    </row>
    <row r="270" spans="1:5" ht="16.5" customHeight="1" x14ac:dyDescent="0.4">
      <c r="A270">
        <v>205</v>
      </c>
      <c r="B270" s="11">
        <v>1301</v>
      </c>
      <c r="C270" t="str">
        <f t="shared" si="18"/>
        <v>1호</v>
      </c>
      <c r="D270" t="str">
        <f t="shared" si="17"/>
        <v>13</v>
      </c>
      <c r="E270" t="str">
        <f t="shared" si="19"/>
        <v>2051호13</v>
      </c>
    </row>
    <row r="271" spans="1:5" ht="16.5" customHeight="1" x14ac:dyDescent="0.4">
      <c r="A271">
        <v>205</v>
      </c>
      <c r="B271" s="11">
        <v>1302</v>
      </c>
      <c r="C271" t="str">
        <f t="shared" si="18"/>
        <v>2호</v>
      </c>
      <c r="D271" t="str">
        <f t="shared" si="17"/>
        <v>13</v>
      </c>
      <c r="E271" t="str">
        <f t="shared" si="19"/>
        <v>2052호13</v>
      </c>
    </row>
    <row r="272" spans="1:5" ht="16.5" customHeight="1" x14ac:dyDescent="0.4">
      <c r="A272">
        <v>205</v>
      </c>
      <c r="B272" s="11">
        <v>1303</v>
      </c>
      <c r="C272" t="str">
        <f t="shared" si="18"/>
        <v>3호</v>
      </c>
      <c r="D272" t="str">
        <f t="shared" si="17"/>
        <v>13</v>
      </c>
      <c r="E272" t="str">
        <f t="shared" si="19"/>
        <v>2053호13</v>
      </c>
    </row>
    <row r="273" spans="1:5" ht="16.5" customHeight="1" x14ac:dyDescent="0.4">
      <c r="A273">
        <v>205</v>
      </c>
      <c r="B273" s="11">
        <v>1304</v>
      </c>
      <c r="C273" t="str">
        <f t="shared" si="18"/>
        <v>4호</v>
      </c>
      <c r="D273" t="str">
        <f t="shared" si="17"/>
        <v>13</v>
      </c>
      <c r="E273" t="str">
        <f t="shared" si="19"/>
        <v>2054호13</v>
      </c>
    </row>
    <row r="274" spans="1:5" ht="16.5" customHeight="1" x14ac:dyDescent="0.4">
      <c r="A274">
        <v>205</v>
      </c>
      <c r="B274" s="11">
        <v>1401</v>
      </c>
      <c r="C274" t="str">
        <f t="shared" si="18"/>
        <v>1호</v>
      </c>
      <c r="D274" t="str">
        <f t="shared" si="17"/>
        <v>14</v>
      </c>
      <c r="E274" t="str">
        <f t="shared" si="19"/>
        <v>2051호14</v>
      </c>
    </row>
    <row r="275" spans="1:5" ht="16.5" customHeight="1" x14ac:dyDescent="0.4">
      <c r="A275">
        <v>205</v>
      </c>
      <c r="B275" s="24">
        <v>1403</v>
      </c>
      <c r="C275" t="str">
        <f t="shared" si="18"/>
        <v>3호</v>
      </c>
      <c r="D275" t="str">
        <f t="shared" si="17"/>
        <v>14</v>
      </c>
      <c r="E275" t="str">
        <f t="shared" si="19"/>
        <v>2053호14</v>
      </c>
    </row>
    <row r="276" spans="1:5" ht="16.5" customHeight="1" x14ac:dyDescent="0.4">
      <c r="A276">
        <v>205</v>
      </c>
      <c r="B276" s="9">
        <v>1404</v>
      </c>
      <c r="C276" t="str">
        <f t="shared" si="18"/>
        <v>4호</v>
      </c>
      <c r="D276" t="str">
        <f t="shared" si="17"/>
        <v>14</v>
      </c>
      <c r="E276" t="str">
        <f t="shared" si="19"/>
        <v>2054호14</v>
      </c>
    </row>
    <row r="277" spans="1:5" ht="16.5" customHeight="1" x14ac:dyDescent="0.4">
      <c r="A277">
        <v>206</v>
      </c>
      <c r="B277" s="9">
        <v>101</v>
      </c>
      <c r="C277" t="str">
        <f t="shared" si="18"/>
        <v>1호</v>
      </c>
      <c r="D277" t="str">
        <f t="shared" ref="D277:D312" si="20">LEFT(B277,1)</f>
        <v>1</v>
      </c>
      <c r="E277" t="str">
        <f t="shared" si="19"/>
        <v>2061호1</v>
      </c>
    </row>
    <row r="278" spans="1:5" ht="16.5" customHeight="1" x14ac:dyDescent="0.4">
      <c r="A278">
        <v>206</v>
      </c>
      <c r="B278" s="9">
        <v>102</v>
      </c>
      <c r="C278" t="str">
        <f t="shared" si="18"/>
        <v>2호</v>
      </c>
      <c r="D278" t="str">
        <f t="shared" si="20"/>
        <v>1</v>
      </c>
      <c r="E278" t="str">
        <f t="shared" si="19"/>
        <v>2062호1</v>
      </c>
    </row>
    <row r="279" spans="1:5" ht="16.5" customHeight="1" x14ac:dyDescent="0.4">
      <c r="A279">
        <v>206</v>
      </c>
      <c r="B279" s="9">
        <v>103</v>
      </c>
      <c r="C279" t="str">
        <f t="shared" si="18"/>
        <v>3호</v>
      </c>
      <c r="D279" t="str">
        <f t="shared" si="20"/>
        <v>1</v>
      </c>
      <c r="E279" t="str">
        <f t="shared" si="19"/>
        <v>2063호1</v>
      </c>
    </row>
    <row r="280" spans="1:5" ht="16.5" customHeight="1" x14ac:dyDescent="0.4">
      <c r="A280">
        <v>206</v>
      </c>
      <c r="B280" s="9">
        <v>104</v>
      </c>
      <c r="C280" t="str">
        <f t="shared" si="18"/>
        <v>4호</v>
      </c>
      <c r="D280" t="str">
        <f t="shared" si="20"/>
        <v>1</v>
      </c>
      <c r="E280" t="str">
        <f t="shared" si="19"/>
        <v>2064호1</v>
      </c>
    </row>
    <row r="281" spans="1:5" ht="16.5" customHeight="1" x14ac:dyDescent="0.4">
      <c r="A281">
        <v>206</v>
      </c>
      <c r="B281" s="9">
        <v>201</v>
      </c>
      <c r="C281" t="str">
        <f t="shared" si="18"/>
        <v>1호</v>
      </c>
      <c r="D281" t="str">
        <f t="shared" si="20"/>
        <v>2</v>
      </c>
      <c r="E281" t="str">
        <f t="shared" si="19"/>
        <v>2061호2</v>
      </c>
    </row>
    <row r="282" spans="1:5" ht="16.5" customHeight="1" x14ac:dyDescent="0.4">
      <c r="A282">
        <v>206</v>
      </c>
      <c r="B282" s="9">
        <v>202</v>
      </c>
      <c r="C282" t="str">
        <f t="shared" si="18"/>
        <v>2호</v>
      </c>
      <c r="D282" t="str">
        <f t="shared" si="20"/>
        <v>2</v>
      </c>
      <c r="E282" t="str">
        <f t="shared" si="19"/>
        <v>2062호2</v>
      </c>
    </row>
    <row r="283" spans="1:5" ht="16.5" customHeight="1" x14ac:dyDescent="0.4">
      <c r="A283">
        <v>206</v>
      </c>
      <c r="B283" s="9">
        <v>203</v>
      </c>
      <c r="C283" t="str">
        <f t="shared" si="18"/>
        <v>3호</v>
      </c>
      <c r="D283" t="str">
        <f t="shared" si="20"/>
        <v>2</v>
      </c>
      <c r="E283" t="str">
        <f t="shared" si="19"/>
        <v>2063호2</v>
      </c>
    </row>
    <row r="284" spans="1:5" ht="16.5" customHeight="1" x14ac:dyDescent="0.4">
      <c r="A284">
        <v>206</v>
      </c>
      <c r="B284" s="9">
        <v>204</v>
      </c>
      <c r="C284" t="str">
        <f t="shared" si="18"/>
        <v>4호</v>
      </c>
      <c r="D284" t="str">
        <f t="shared" si="20"/>
        <v>2</v>
      </c>
      <c r="E284" t="str">
        <f t="shared" si="19"/>
        <v>2064호2</v>
      </c>
    </row>
    <row r="285" spans="1:5" ht="16.5" customHeight="1" x14ac:dyDescent="0.4">
      <c r="A285">
        <v>206</v>
      </c>
      <c r="B285" s="9">
        <v>301</v>
      </c>
      <c r="C285" t="str">
        <f t="shared" si="18"/>
        <v>1호</v>
      </c>
      <c r="D285" t="str">
        <f t="shared" si="20"/>
        <v>3</v>
      </c>
      <c r="E285" t="str">
        <f t="shared" si="19"/>
        <v>2061호3</v>
      </c>
    </row>
    <row r="286" spans="1:5" ht="16.5" customHeight="1" x14ac:dyDescent="0.4">
      <c r="A286">
        <v>206</v>
      </c>
      <c r="B286" s="9">
        <v>302</v>
      </c>
      <c r="C286" t="str">
        <f t="shared" si="18"/>
        <v>2호</v>
      </c>
      <c r="D286" t="str">
        <f t="shared" si="20"/>
        <v>3</v>
      </c>
      <c r="E286" t="str">
        <f t="shared" si="19"/>
        <v>2062호3</v>
      </c>
    </row>
    <row r="287" spans="1:5" ht="16.5" customHeight="1" x14ac:dyDescent="0.4">
      <c r="A287">
        <v>206</v>
      </c>
      <c r="B287" s="9">
        <v>303</v>
      </c>
      <c r="C287" t="str">
        <f t="shared" si="18"/>
        <v>3호</v>
      </c>
      <c r="D287" t="str">
        <f t="shared" si="20"/>
        <v>3</v>
      </c>
      <c r="E287" t="str">
        <f t="shared" si="19"/>
        <v>2063호3</v>
      </c>
    </row>
    <row r="288" spans="1:5" ht="16.5" customHeight="1" x14ac:dyDescent="0.4">
      <c r="A288">
        <v>206</v>
      </c>
      <c r="B288" s="9">
        <v>304</v>
      </c>
      <c r="C288" t="str">
        <f t="shared" si="18"/>
        <v>4호</v>
      </c>
      <c r="D288" t="str">
        <f t="shared" si="20"/>
        <v>3</v>
      </c>
      <c r="E288" t="str">
        <f t="shared" si="19"/>
        <v>2064호3</v>
      </c>
    </row>
    <row r="289" spans="1:5" ht="16.5" customHeight="1" x14ac:dyDescent="0.4">
      <c r="A289">
        <v>206</v>
      </c>
      <c r="B289" s="22">
        <v>401</v>
      </c>
      <c r="C289" t="str">
        <f t="shared" si="18"/>
        <v>1호</v>
      </c>
      <c r="D289" t="str">
        <f t="shared" si="20"/>
        <v>4</v>
      </c>
      <c r="E289" t="str">
        <f t="shared" si="19"/>
        <v>2061호4</v>
      </c>
    </row>
    <row r="290" spans="1:5" ht="16.5" customHeight="1" x14ac:dyDescent="0.4">
      <c r="A290">
        <v>206</v>
      </c>
      <c r="B290" s="11">
        <v>402</v>
      </c>
      <c r="C290" t="str">
        <f t="shared" si="18"/>
        <v>2호</v>
      </c>
      <c r="D290" t="str">
        <f t="shared" si="20"/>
        <v>4</v>
      </c>
      <c r="E290" t="str">
        <f t="shared" si="19"/>
        <v>2062호4</v>
      </c>
    </row>
    <row r="291" spans="1:5" ht="16.5" customHeight="1" x14ac:dyDescent="0.4">
      <c r="A291">
        <v>206</v>
      </c>
      <c r="B291" s="11">
        <v>403</v>
      </c>
      <c r="C291" t="str">
        <f t="shared" si="18"/>
        <v>3호</v>
      </c>
      <c r="D291" t="str">
        <f t="shared" si="20"/>
        <v>4</v>
      </c>
      <c r="E291" t="str">
        <f t="shared" si="19"/>
        <v>2063호4</v>
      </c>
    </row>
    <row r="292" spans="1:5" ht="16.5" customHeight="1" x14ac:dyDescent="0.4">
      <c r="A292">
        <v>206</v>
      </c>
      <c r="B292" s="11">
        <v>404</v>
      </c>
      <c r="C292" t="str">
        <f t="shared" si="18"/>
        <v>4호</v>
      </c>
      <c r="D292" t="str">
        <f t="shared" si="20"/>
        <v>4</v>
      </c>
      <c r="E292" t="str">
        <f t="shared" si="19"/>
        <v>2064호4</v>
      </c>
    </row>
    <row r="293" spans="1:5" ht="16.5" customHeight="1" x14ac:dyDescent="0.4">
      <c r="A293">
        <v>206</v>
      </c>
      <c r="B293" s="11">
        <v>501</v>
      </c>
      <c r="C293" t="str">
        <f t="shared" si="18"/>
        <v>1호</v>
      </c>
      <c r="D293" t="str">
        <f t="shared" si="20"/>
        <v>5</v>
      </c>
      <c r="E293" t="str">
        <f t="shared" si="19"/>
        <v>2061호5</v>
      </c>
    </row>
    <row r="294" spans="1:5" ht="16.5" customHeight="1" x14ac:dyDescent="0.4">
      <c r="A294">
        <v>206</v>
      </c>
      <c r="B294" s="11">
        <v>502</v>
      </c>
      <c r="C294" t="str">
        <f t="shared" si="18"/>
        <v>2호</v>
      </c>
      <c r="D294" t="str">
        <f t="shared" si="20"/>
        <v>5</v>
      </c>
      <c r="E294" t="str">
        <f t="shared" si="19"/>
        <v>2062호5</v>
      </c>
    </row>
    <row r="295" spans="1:5" ht="16.5" customHeight="1" x14ac:dyDescent="0.4">
      <c r="A295">
        <v>206</v>
      </c>
      <c r="B295" s="11">
        <v>503</v>
      </c>
      <c r="C295" t="str">
        <f t="shared" si="18"/>
        <v>3호</v>
      </c>
      <c r="D295" t="str">
        <f t="shared" si="20"/>
        <v>5</v>
      </c>
      <c r="E295" t="str">
        <f t="shared" si="19"/>
        <v>2063호5</v>
      </c>
    </row>
    <row r="296" spans="1:5" ht="16.5" customHeight="1" x14ac:dyDescent="0.4">
      <c r="A296">
        <v>206</v>
      </c>
      <c r="B296" s="11">
        <v>504</v>
      </c>
      <c r="C296" t="str">
        <f t="shared" si="18"/>
        <v>4호</v>
      </c>
      <c r="D296" t="str">
        <f t="shared" si="20"/>
        <v>5</v>
      </c>
      <c r="E296" t="str">
        <f t="shared" si="19"/>
        <v>2064호5</v>
      </c>
    </row>
    <row r="297" spans="1:5" ht="16.5" customHeight="1" x14ac:dyDescent="0.4">
      <c r="A297">
        <v>206</v>
      </c>
      <c r="B297" s="11">
        <v>601</v>
      </c>
      <c r="C297" t="str">
        <f t="shared" si="18"/>
        <v>1호</v>
      </c>
      <c r="D297" t="str">
        <f t="shared" si="20"/>
        <v>6</v>
      </c>
      <c r="E297" t="str">
        <f t="shared" si="19"/>
        <v>2061호6</v>
      </c>
    </row>
    <row r="298" spans="1:5" ht="16.5" customHeight="1" x14ac:dyDescent="0.4">
      <c r="A298">
        <v>206</v>
      </c>
      <c r="B298" s="11">
        <v>602</v>
      </c>
      <c r="C298" t="str">
        <f t="shared" si="18"/>
        <v>2호</v>
      </c>
      <c r="D298" t="str">
        <f t="shared" si="20"/>
        <v>6</v>
      </c>
      <c r="E298" t="str">
        <f t="shared" si="19"/>
        <v>2062호6</v>
      </c>
    </row>
    <row r="299" spans="1:5" ht="16.5" customHeight="1" x14ac:dyDescent="0.4">
      <c r="A299">
        <v>206</v>
      </c>
      <c r="B299" s="11">
        <v>603</v>
      </c>
      <c r="C299" t="str">
        <f t="shared" si="18"/>
        <v>3호</v>
      </c>
      <c r="D299" t="str">
        <f t="shared" si="20"/>
        <v>6</v>
      </c>
      <c r="E299" t="str">
        <f t="shared" si="19"/>
        <v>2063호6</v>
      </c>
    </row>
    <row r="300" spans="1:5" ht="16.5" customHeight="1" x14ac:dyDescent="0.4">
      <c r="A300">
        <v>206</v>
      </c>
      <c r="B300" s="11">
        <v>604</v>
      </c>
      <c r="C300" t="str">
        <f t="shared" si="18"/>
        <v>4호</v>
      </c>
      <c r="D300" t="str">
        <f t="shared" si="20"/>
        <v>6</v>
      </c>
      <c r="E300" t="str">
        <f t="shared" si="19"/>
        <v>2064호6</v>
      </c>
    </row>
    <row r="301" spans="1:5" ht="16.5" customHeight="1" x14ac:dyDescent="0.4">
      <c r="A301">
        <v>206</v>
      </c>
      <c r="B301" s="11">
        <v>701</v>
      </c>
      <c r="C301" t="str">
        <f t="shared" si="18"/>
        <v>1호</v>
      </c>
      <c r="D301" t="str">
        <f t="shared" si="20"/>
        <v>7</v>
      </c>
      <c r="E301" t="str">
        <f t="shared" si="19"/>
        <v>2061호7</v>
      </c>
    </row>
    <row r="302" spans="1:5" ht="16.5" customHeight="1" x14ac:dyDescent="0.4">
      <c r="A302">
        <v>206</v>
      </c>
      <c r="B302" s="11">
        <v>702</v>
      </c>
      <c r="C302" t="str">
        <f t="shared" si="18"/>
        <v>2호</v>
      </c>
      <c r="D302" t="str">
        <f t="shared" si="20"/>
        <v>7</v>
      </c>
      <c r="E302" t="str">
        <f t="shared" si="19"/>
        <v>2062호7</v>
      </c>
    </row>
    <row r="303" spans="1:5" ht="16.5" customHeight="1" x14ac:dyDescent="0.4">
      <c r="A303">
        <v>206</v>
      </c>
      <c r="B303" s="24">
        <v>703</v>
      </c>
      <c r="C303" t="str">
        <f t="shared" si="18"/>
        <v>3호</v>
      </c>
      <c r="D303" t="str">
        <f t="shared" si="20"/>
        <v>7</v>
      </c>
      <c r="E303" t="str">
        <f t="shared" si="19"/>
        <v>2063호7</v>
      </c>
    </row>
    <row r="304" spans="1:5" ht="16.5" customHeight="1" x14ac:dyDescent="0.4">
      <c r="A304">
        <v>206</v>
      </c>
      <c r="B304" s="11">
        <v>704</v>
      </c>
      <c r="C304" t="str">
        <f t="shared" si="18"/>
        <v>4호</v>
      </c>
      <c r="D304" t="str">
        <f t="shared" si="20"/>
        <v>7</v>
      </c>
      <c r="E304" t="str">
        <f t="shared" si="19"/>
        <v>2064호7</v>
      </c>
    </row>
    <row r="305" spans="1:5" ht="16.5" customHeight="1" x14ac:dyDescent="0.4">
      <c r="A305">
        <v>206</v>
      </c>
      <c r="B305" s="11">
        <v>801</v>
      </c>
      <c r="C305" t="str">
        <f t="shared" si="18"/>
        <v>1호</v>
      </c>
      <c r="D305" t="str">
        <f t="shared" si="20"/>
        <v>8</v>
      </c>
      <c r="E305" t="str">
        <f t="shared" si="19"/>
        <v>2061호8</v>
      </c>
    </row>
    <row r="306" spans="1:5" ht="16.5" customHeight="1" x14ac:dyDescent="0.4">
      <c r="A306">
        <v>206</v>
      </c>
      <c r="B306" s="11">
        <v>802</v>
      </c>
      <c r="C306" t="str">
        <f t="shared" si="18"/>
        <v>2호</v>
      </c>
      <c r="D306" t="str">
        <f t="shared" si="20"/>
        <v>8</v>
      </c>
      <c r="E306" t="str">
        <f t="shared" si="19"/>
        <v>2062호8</v>
      </c>
    </row>
    <row r="307" spans="1:5" ht="16.5" customHeight="1" x14ac:dyDescent="0.4">
      <c r="A307">
        <v>206</v>
      </c>
      <c r="B307" s="11">
        <v>803</v>
      </c>
      <c r="C307" t="str">
        <f t="shared" si="18"/>
        <v>3호</v>
      </c>
      <c r="D307" t="str">
        <f t="shared" si="20"/>
        <v>8</v>
      </c>
      <c r="E307" t="str">
        <f t="shared" si="19"/>
        <v>2063호8</v>
      </c>
    </row>
    <row r="308" spans="1:5" ht="16.5" customHeight="1" x14ac:dyDescent="0.4">
      <c r="A308">
        <v>206</v>
      </c>
      <c r="B308" s="11">
        <v>804</v>
      </c>
      <c r="C308" t="str">
        <f t="shared" si="18"/>
        <v>4호</v>
      </c>
      <c r="D308" t="str">
        <f t="shared" si="20"/>
        <v>8</v>
      </c>
      <c r="E308" t="str">
        <f t="shared" si="19"/>
        <v>2064호8</v>
      </c>
    </row>
    <row r="309" spans="1:5" ht="16.5" customHeight="1" x14ac:dyDescent="0.4">
      <c r="A309">
        <v>206</v>
      </c>
      <c r="B309" s="11">
        <v>901</v>
      </c>
      <c r="C309" t="str">
        <f t="shared" si="18"/>
        <v>1호</v>
      </c>
      <c r="D309" t="str">
        <f t="shared" si="20"/>
        <v>9</v>
      </c>
      <c r="E309" t="str">
        <f t="shared" si="19"/>
        <v>2061호9</v>
      </c>
    </row>
    <row r="310" spans="1:5" ht="16.5" customHeight="1" x14ac:dyDescent="0.4">
      <c r="A310">
        <v>206</v>
      </c>
      <c r="B310" s="11">
        <v>902</v>
      </c>
      <c r="C310" t="str">
        <f t="shared" si="18"/>
        <v>2호</v>
      </c>
      <c r="D310" t="str">
        <f t="shared" si="20"/>
        <v>9</v>
      </c>
      <c r="E310" t="str">
        <f t="shared" si="19"/>
        <v>2062호9</v>
      </c>
    </row>
    <row r="311" spans="1:5" ht="16.5" customHeight="1" x14ac:dyDescent="0.4">
      <c r="A311">
        <v>206</v>
      </c>
      <c r="B311" s="11">
        <v>903</v>
      </c>
      <c r="C311" t="str">
        <f t="shared" si="18"/>
        <v>3호</v>
      </c>
      <c r="D311" t="str">
        <f t="shared" si="20"/>
        <v>9</v>
      </c>
      <c r="E311" t="str">
        <f t="shared" si="19"/>
        <v>2063호9</v>
      </c>
    </row>
    <row r="312" spans="1:5" ht="16.5" customHeight="1" x14ac:dyDescent="0.4">
      <c r="A312">
        <v>206</v>
      </c>
      <c r="B312" s="11">
        <v>904</v>
      </c>
      <c r="C312" t="str">
        <f t="shared" si="18"/>
        <v>4호</v>
      </c>
      <c r="D312" t="str">
        <f t="shared" si="20"/>
        <v>9</v>
      </c>
      <c r="E312" t="str">
        <f t="shared" si="19"/>
        <v>2064호9</v>
      </c>
    </row>
    <row r="313" spans="1:5" ht="16.5" customHeight="1" x14ac:dyDescent="0.4">
      <c r="A313">
        <v>206</v>
      </c>
      <c r="B313" s="11">
        <v>1001</v>
      </c>
      <c r="C313" t="str">
        <f t="shared" si="18"/>
        <v>1호</v>
      </c>
      <c r="D313" t="str">
        <f t="shared" ref="D313:D332" si="21">LEFT(B313,2)</f>
        <v>10</v>
      </c>
      <c r="E313" t="str">
        <f t="shared" si="19"/>
        <v>2061호10</v>
      </c>
    </row>
    <row r="314" spans="1:5" ht="16.5" customHeight="1" x14ac:dyDescent="0.4">
      <c r="A314">
        <v>206</v>
      </c>
      <c r="B314" s="11">
        <v>1002</v>
      </c>
      <c r="C314" t="str">
        <f t="shared" si="18"/>
        <v>2호</v>
      </c>
      <c r="D314" t="str">
        <f t="shared" si="21"/>
        <v>10</v>
      </c>
      <c r="E314" t="str">
        <f t="shared" si="19"/>
        <v>2062호10</v>
      </c>
    </row>
    <row r="315" spans="1:5" ht="16.5" customHeight="1" x14ac:dyDescent="0.4">
      <c r="A315">
        <v>206</v>
      </c>
      <c r="B315" s="11">
        <v>1003</v>
      </c>
      <c r="C315" t="str">
        <f t="shared" si="18"/>
        <v>3호</v>
      </c>
      <c r="D315" t="str">
        <f t="shared" si="21"/>
        <v>10</v>
      </c>
      <c r="E315" t="str">
        <f t="shared" si="19"/>
        <v>2063호10</v>
      </c>
    </row>
    <row r="316" spans="1:5" ht="16.5" customHeight="1" x14ac:dyDescent="0.4">
      <c r="A316">
        <v>206</v>
      </c>
      <c r="B316" s="11">
        <v>1004</v>
      </c>
      <c r="C316" t="str">
        <f t="shared" si="18"/>
        <v>4호</v>
      </c>
      <c r="D316" t="str">
        <f t="shared" si="21"/>
        <v>10</v>
      </c>
      <c r="E316" t="str">
        <f t="shared" si="19"/>
        <v>2064호10</v>
      </c>
    </row>
    <row r="317" spans="1:5" ht="16.5" customHeight="1" x14ac:dyDescent="0.4">
      <c r="A317">
        <v>206</v>
      </c>
      <c r="B317" s="24">
        <v>1101</v>
      </c>
      <c r="C317" t="str">
        <f t="shared" si="18"/>
        <v>1호</v>
      </c>
      <c r="D317" t="str">
        <f t="shared" si="21"/>
        <v>11</v>
      </c>
      <c r="E317" t="str">
        <f t="shared" si="19"/>
        <v>2061호11</v>
      </c>
    </row>
    <row r="318" spans="1:5" ht="16.5" customHeight="1" x14ac:dyDescent="0.4">
      <c r="A318">
        <v>206</v>
      </c>
      <c r="B318" s="11">
        <v>1102</v>
      </c>
      <c r="C318" t="str">
        <f t="shared" si="18"/>
        <v>2호</v>
      </c>
      <c r="D318" t="str">
        <f t="shared" si="21"/>
        <v>11</v>
      </c>
      <c r="E318" t="str">
        <f t="shared" si="19"/>
        <v>2062호11</v>
      </c>
    </row>
    <row r="319" spans="1:5" ht="16.5" customHeight="1" x14ac:dyDescent="0.4">
      <c r="A319">
        <v>206</v>
      </c>
      <c r="B319" s="11">
        <v>1103</v>
      </c>
      <c r="C319" t="str">
        <f t="shared" si="18"/>
        <v>3호</v>
      </c>
      <c r="D319" t="str">
        <f t="shared" si="21"/>
        <v>11</v>
      </c>
      <c r="E319" t="str">
        <f t="shared" si="19"/>
        <v>2063호11</v>
      </c>
    </row>
    <row r="320" spans="1:5" ht="16.5" customHeight="1" x14ac:dyDescent="0.4">
      <c r="A320">
        <v>206</v>
      </c>
      <c r="B320" s="11">
        <v>1104</v>
      </c>
      <c r="C320" t="str">
        <f t="shared" si="18"/>
        <v>4호</v>
      </c>
      <c r="D320" t="str">
        <f t="shared" si="21"/>
        <v>11</v>
      </c>
      <c r="E320" t="str">
        <f t="shared" si="19"/>
        <v>2064호11</v>
      </c>
    </row>
    <row r="321" spans="1:5" ht="16.5" customHeight="1" x14ac:dyDescent="0.4">
      <c r="A321">
        <v>206</v>
      </c>
      <c r="B321" s="11">
        <v>1201</v>
      </c>
      <c r="C321" t="str">
        <f t="shared" si="18"/>
        <v>1호</v>
      </c>
      <c r="D321" t="str">
        <f t="shared" si="21"/>
        <v>12</v>
      </c>
      <c r="E321" t="str">
        <f t="shared" si="19"/>
        <v>2061호12</v>
      </c>
    </row>
    <row r="322" spans="1:5" ht="16.5" customHeight="1" x14ac:dyDescent="0.4">
      <c r="A322">
        <v>206</v>
      </c>
      <c r="B322" s="11">
        <v>1202</v>
      </c>
      <c r="C322" t="str">
        <f t="shared" si="18"/>
        <v>2호</v>
      </c>
      <c r="D322" t="str">
        <f t="shared" si="21"/>
        <v>12</v>
      </c>
      <c r="E322" t="str">
        <f t="shared" si="19"/>
        <v>2062호12</v>
      </c>
    </row>
    <row r="323" spans="1:5" ht="16.5" customHeight="1" x14ac:dyDescent="0.4">
      <c r="A323">
        <v>206</v>
      </c>
      <c r="B323" s="11">
        <v>1203</v>
      </c>
      <c r="C323" t="str">
        <f t="shared" si="18"/>
        <v>3호</v>
      </c>
      <c r="D323" t="str">
        <f t="shared" si="21"/>
        <v>12</v>
      </c>
      <c r="E323" t="str">
        <f t="shared" si="19"/>
        <v>2063호12</v>
      </c>
    </row>
    <row r="324" spans="1:5" ht="16.5" customHeight="1" x14ac:dyDescent="0.4">
      <c r="A324">
        <v>206</v>
      </c>
      <c r="B324" s="11">
        <v>1204</v>
      </c>
      <c r="C324" t="str">
        <f t="shared" ref="C324:C387" si="22">RIGHT(B324,1)&amp;"호"</f>
        <v>4호</v>
      </c>
      <c r="D324" t="str">
        <f t="shared" si="21"/>
        <v>12</v>
      </c>
      <c r="E324" t="str">
        <f t="shared" ref="E324:E387" si="23">A324&amp;C324&amp;D324</f>
        <v>2064호12</v>
      </c>
    </row>
    <row r="325" spans="1:5" ht="16.5" customHeight="1" x14ac:dyDescent="0.4">
      <c r="A325">
        <v>206</v>
      </c>
      <c r="B325" s="11">
        <v>1301</v>
      </c>
      <c r="C325" t="str">
        <f t="shared" si="22"/>
        <v>1호</v>
      </c>
      <c r="D325" t="str">
        <f t="shared" si="21"/>
        <v>13</v>
      </c>
      <c r="E325" t="str">
        <f t="shared" si="23"/>
        <v>2061호13</v>
      </c>
    </row>
    <row r="326" spans="1:5" ht="16.5" customHeight="1" x14ac:dyDescent="0.4">
      <c r="A326">
        <v>206</v>
      </c>
      <c r="B326" s="11">
        <v>1302</v>
      </c>
      <c r="C326" t="str">
        <f t="shared" si="22"/>
        <v>2호</v>
      </c>
      <c r="D326" t="str">
        <f t="shared" si="21"/>
        <v>13</v>
      </c>
      <c r="E326" t="str">
        <f t="shared" si="23"/>
        <v>2062호13</v>
      </c>
    </row>
    <row r="327" spans="1:5" ht="16.5" customHeight="1" x14ac:dyDescent="0.4">
      <c r="A327">
        <v>206</v>
      </c>
      <c r="B327" s="11">
        <v>1303</v>
      </c>
      <c r="C327" t="str">
        <f t="shared" si="22"/>
        <v>3호</v>
      </c>
      <c r="D327" t="str">
        <f t="shared" si="21"/>
        <v>13</v>
      </c>
      <c r="E327" t="str">
        <f t="shared" si="23"/>
        <v>2063호13</v>
      </c>
    </row>
    <row r="328" spans="1:5" ht="16.5" customHeight="1" x14ac:dyDescent="0.4">
      <c r="A328">
        <v>206</v>
      </c>
      <c r="B328" s="11">
        <v>1304</v>
      </c>
      <c r="C328" t="str">
        <f t="shared" si="22"/>
        <v>4호</v>
      </c>
      <c r="D328" t="str">
        <f t="shared" si="21"/>
        <v>13</v>
      </c>
      <c r="E328" t="str">
        <f t="shared" si="23"/>
        <v>2064호13</v>
      </c>
    </row>
    <row r="329" spans="1:5" ht="16.5" customHeight="1" x14ac:dyDescent="0.4">
      <c r="A329">
        <v>206</v>
      </c>
      <c r="B329" s="11">
        <v>1401</v>
      </c>
      <c r="C329" t="str">
        <f t="shared" si="22"/>
        <v>1호</v>
      </c>
      <c r="D329" t="str">
        <f t="shared" si="21"/>
        <v>14</v>
      </c>
      <c r="E329" t="str">
        <f t="shared" si="23"/>
        <v>2061호14</v>
      </c>
    </row>
    <row r="330" spans="1:5" ht="16.5" customHeight="1" x14ac:dyDescent="0.4">
      <c r="A330">
        <v>206</v>
      </c>
      <c r="B330" s="11">
        <v>1402</v>
      </c>
      <c r="C330" t="str">
        <f t="shared" si="22"/>
        <v>2호</v>
      </c>
      <c r="D330" t="str">
        <f t="shared" si="21"/>
        <v>14</v>
      </c>
      <c r="E330" t="str">
        <f t="shared" si="23"/>
        <v>2062호14</v>
      </c>
    </row>
    <row r="331" spans="1:5" ht="16.5" customHeight="1" x14ac:dyDescent="0.4">
      <c r="A331">
        <v>206</v>
      </c>
      <c r="B331" s="24">
        <v>1403</v>
      </c>
      <c r="C331" t="str">
        <f t="shared" si="22"/>
        <v>3호</v>
      </c>
      <c r="D331" t="str">
        <f t="shared" si="21"/>
        <v>14</v>
      </c>
      <c r="E331" t="str">
        <f t="shared" si="23"/>
        <v>2063호14</v>
      </c>
    </row>
    <row r="332" spans="1:5" ht="16.5" customHeight="1" x14ac:dyDescent="0.4">
      <c r="A332">
        <v>206</v>
      </c>
      <c r="B332" s="9">
        <v>1404</v>
      </c>
      <c r="C332" t="str">
        <f t="shared" si="22"/>
        <v>4호</v>
      </c>
      <c r="D332" t="str">
        <f t="shared" si="21"/>
        <v>14</v>
      </c>
      <c r="E332" t="str">
        <f t="shared" si="23"/>
        <v>2064호14</v>
      </c>
    </row>
    <row r="333" spans="1:5" ht="16.5" customHeight="1" x14ac:dyDescent="0.4">
      <c r="A333">
        <v>207</v>
      </c>
      <c r="B333" s="9">
        <v>102</v>
      </c>
      <c r="C333" t="str">
        <f t="shared" si="22"/>
        <v>2호</v>
      </c>
      <c r="D333" t="str">
        <f t="shared" ref="D333:D358" si="24">LEFT(B333,1)</f>
        <v>1</v>
      </c>
      <c r="E333" t="str">
        <f t="shared" si="23"/>
        <v>2072호1</v>
      </c>
    </row>
    <row r="334" spans="1:5" ht="16.5" customHeight="1" x14ac:dyDescent="0.4">
      <c r="A334">
        <v>207</v>
      </c>
      <c r="B334" s="9">
        <v>103</v>
      </c>
      <c r="C334" t="str">
        <f t="shared" si="22"/>
        <v>3호</v>
      </c>
      <c r="D334" t="str">
        <f t="shared" si="24"/>
        <v>1</v>
      </c>
      <c r="E334" t="str">
        <f t="shared" si="23"/>
        <v>2073호1</v>
      </c>
    </row>
    <row r="335" spans="1:5" ht="16.5" customHeight="1" x14ac:dyDescent="0.4">
      <c r="A335">
        <v>207</v>
      </c>
      <c r="B335" s="9">
        <v>201</v>
      </c>
      <c r="C335" t="str">
        <f t="shared" si="22"/>
        <v>1호</v>
      </c>
      <c r="D335" t="str">
        <f t="shared" si="24"/>
        <v>2</v>
      </c>
      <c r="E335" t="str">
        <f t="shared" si="23"/>
        <v>2071호2</v>
      </c>
    </row>
    <row r="336" spans="1:5" ht="16.5" customHeight="1" x14ac:dyDescent="0.4">
      <c r="A336">
        <v>207</v>
      </c>
      <c r="B336" s="9">
        <v>202</v>
      </c>
      <c r="C336" t="str">
        <f t="shared" si="22"/>
        <v>2호</v>
      </c>
      <c r="D336" t="str">
        <f t="shared" si="24"/>
        <v>2</v>
      </c>
      <c r="E336" t="str">
        <f t="shared" si="23"/>
        <v>2072호2</v>
      </c>
    </row>
    <row r="337" spans="1:5" ht="16.5" customHeight="1" x14ac:dyDescent="0.4">
      <c r="A337">
        <v>207</v>
      </c>
      <c r="B337" s="9">
        <v>203</v>
      </c>
      <c r="C337" t="str">
        <f t="shared" si="22"/>
        <v>3호</v>
      </c>
      <c r="D337" t="str">
        <f t="shared" si="24"/>
        <v>2</v>
      </c>
      <c r="E337" t="str">
        <f t="shared" si="23"/>
        <v>2073호2</v>
      </c>
    </row>
    <row r="338" spans="1:5" ht="16.5" customHeight="1" x14ac:dyDescent="0.4">
      <c r="A338">
        <v>207</v>
      </c>
      <c r="B338" s="9">
        <v>301</v>
      </c>
      <c r="C338" t="str">
        <f t="shared" si="22"/>
        <v>1호</v>
      </c>
      <c r="D338" t="str">
        <f t="shared" si="24"/>
        <v>3</v>
      </c>
      <c r="E338" t="str">
        <f t="shared" si="23"/>
        <v>2071호3</v>
      </c>
    </row>
    <row r="339" spans="1:5" ht="16.5" customHeight="1" x14ac:dyDescent="0.4">
      <c r="A339">
        <v>207</v>
      </c>
      <c r="B339" s="9">
        <v>302</v>
      </c>
      <c r="C339" t="str">
        <f t="shared" si="22"/>
        <v>2호</v>
      </c>
      <c r="D339" t="str">
        <f t="shared" si="24"/>
        <v>3</v>
      </c>
      <c r="E339" t="str">
        <f t="shared" si="23"/>
        <v>2072호3</v>
      </c>
    </row>
    <row r="340" spans="1:5" ht="16.5" customHeight="1" x14ac:dyDescent="0.4">
      <c r="A340">
        <v>207</v>
      </c>
      <c r="B340" s="9">
        <v>303</v>
      </c>
      <c r="C340" t="str">
        <f t="shared" si="22"/>
        <v>3호</v>
      </c>
      <c r="D340" t="str">
        <f t="shared" si="24"/>
        <v>3</v>
      </c>
      <c r="E340" t="str">
        <f t="shared" si="23"/>
        <v>2073호3</v>
      </c>
    </row>
    <row r="341" spans="1:5" ht="16.5" customHeight="1" x14ac:dyDescent="0.4">
      <c r="A341">
        <v>207</v>
      </c>
      <c r="B341" s="9">
        <v>401</v>
      </c>
      <c r="C341" t="str">
        <f t="shared" si="22"/>
        <v>1호</v>
      </c>
      <c r="D341" t="str">
        <f t="shared" si="24"/>
        <v>4</v>
      </c>
      <c r="E341" t="str">
        <f t="shared" si="23"/>
        <v>2071호4</v>
      </c>
    </row>
    <row r="342" spans="1:5" ht="16.5" customHeight="1" x14ac:dyDescent="0.4">
      <c r="A342">
        <v>207</v>
      </c>
      <c r="B342" s="9">
        <v>402</v>
      </c>
      <c r="C342" t="str">
        <f t="shared" si="22"/>
        <v>2호</v>
      </c>
      <c r="D342" t="str">
        <f t="shared" si="24"/>
        <v>4</v>
      </c>
      <c r="E342" t="str">
        <f t="shared" si="23"/>
        <v>2072호4</v>
      </c>
    </row>
    <row r="343" spans="1:5" ht="16.5" customHeight="1" x14ac:dyDescent="0.4">
      <c r="A343">
        <v>207</v>
      </c>
      <c r="B343" s="9">
        <v>403</v>
      </c>
      <c r="C343" t="str">
        <f t="shared" si="22"/>
        <v>3호</v>
      </c>
      <c r="D343" t="str">
        <f t="shared" si="24"/>
        <v>4</v>
      </c>
      <c r="E343" t="str">
        <f t="shared" si="23"/>
        <v>2073호4</v>
      </c>
    </row>
    <row r="344" spans="1:5" ht="16.5" customHeight="1" x14ac:dyDescent="0.4">
      <c r="A344">
        <v>207</v>
      </c>
      <c r="B344" s="9">
        <v>501</v>
      </c>
      <c r="C344" t="str">
        <f t="shared" si="22"/>
        <v>1호</v>
      </c>
      <c r="D344" t="str">
        <f t="shared" si="24"/>
        <v>5</v>
      </c>
      <c r="E344" t="str">
        <f t="shared" si="23"/>
        <v>2071호5</v>
      </c>
    </row>
    <row r="345" spans="1:5" ht="16.5" customHeight="1" x14ac:dyDescent="0.4">
      <c r="A345">
        <v>207</v>
      </c>
      <c r="B345" s="11">
        <v>502</v>
      </c>
      <c r="C345" t="str">
        <f t="shared" si="22"/>
        <v>2호</v>
      </c>
      <c r="D345" t="str">
        <f t="shared" si="24"/>
        <v>5</v>
      </c>
      <c r="E345" t="str">
        <f t="shared" si="23"/>
        <v>2072호5</v>
      </c>
    </row>
    <row r="346" spans="1:5" ht="16.5" customHeight="1" x14ac:dyDescent="0.4">
      <c r="A346">
        <v>207</v>
      </c>
      <c r="B346" s="11">
        <v>503</v>
      </c>
      <c r="C346" t="str">
        <f t="shared" si="22"/>
        <v>3호</v>
      </c>
      <c r="D346" t="str">
        <f t="shared" si="24"/>
        <v>5</v>
      </c>
      <c r="E346" t="str">
        <f t="shared" si="23"/>
        <v>2073호5</v>
      </c>
    </row>
    <row r="347" spans="1:5" ht="16.5" customHeight="1" x14ac:dyDescent="0.4">
      <c r="A347">
        <v>207</v>
      </c>
      <c r="B347" s="11">
        <v>601</v>
      </c>
      <c r="C347" t="str">
        <f t="shared" si="22"/>
        <v>1호</v>
      </c>
      <c r="D347" t="str">
        <f t="shared" si="24"/>
        <v>6</v>
      </c>
      <c r="E347" t="str">
        <f t="shared" si="23"/>
        <v>2071호6</v>
      </c>
    </row>
    <row r="348" spans="1:5" ht="16.5" customHeight="1" x14ac:dyDescent="0.4">
      <c r="A348">
        <v>207</v>
      </c>
      <c r="B348" s="11">
        <v>602</v>
      </c>
      <c r="C348" t="str">
        <f t="shared" si="22"/>
        <v>2호</v>
      </c>
      <c r="D348" t="str">
        <f t="shared" si="24"/>
        <v>6</v>
      </c>
      <c r="E348" t="str">
        <f t="shared" si="23"/>
        <v>2072호6</v>
      </c>
    </row>
    <row r="349" spans="1:5" ht="16.5" customHeight="1" x14ac:dyDescent="0.4">
      <c r="A349">
        <v>207</v>
      </c>
      <c r="B349" s="11">
        <v>603</v>
      </c>
      <c r="C349" t="str">
        <f t="shared" si="22"/>
        <v>3호</v>
      </c>
      <c r="D349" t="str">
        <f t="shared" si="24"/>
        <v>6</v>
      </c>
      <c r="E349" t="str">
        <f t="shared" si="23"/>
        <v>2073호6</v>
      </c>
    </row>
    <row r="350" spans="1:5" ht="16.5" customHeight="1" x14ac:dyDescent="0.4">
      <c r="A350">
        <v>207</v>
      </c>
      <c r="B350" s="11">
        <v>701</v>
      </c>
      <c r="C350" t="str">
        <f t="shared" si="22"/>
        <v>1호</v>
      </c>
      <c r="D350" t="str">
        <f t="shared" si="24"/>
        <v>7</v>
      </c>
      <c r="E350" t="str">
        <f t="shared" si="23"/>
        <v>2071호7</v>
      </c>
    </row>
    <row r="351" spans="1:5" ht="16.5" customHeight="1" x14ac:dyDescent="0.4">
      <c r="A351">
        <v>207</v>
      </c>
      <c r="B351" s="11">
        <v>702</v>
      </c>
      <c r="C351" t="str">
        <f t="shared" si="22"/>
        <v>2호</v>
      </c>
      <c r="D351" t="str">
        <f t="shared" si="24"/>
        <v>7</v>
      </c>
      <c r="E351" t="str">
        <f t="shared" si="23"/>
        <v>2072호7</v>
      </c>
    </row>
    <row r="352" spans="1:5" ht="16.5" customHeight="1" x14ac:dyDescent="0.4">
      <c r="A352">
        <v>207</v>
      </c>
      <c r="B352" s="11">
        <v>703</v>
      </c>
      <c r="C352" t="str">
        <f t="shared" si="22"/>
        <v>3호</v>
      </c>
      <c r="D352" t="str">
        <f t="shared" si="24"/>
        <v>7</v>
      </c>
      <c r="E352" t="str">
        <f t="shared" si="23"/>
        <v>2073호7</v>
      </c>
    </row>
    <row r="353" spans="1:5" ht="16.5" customHeight="1" x14ac:dyDescent="0.4">
      <c r="A353">
        <v>207</v>
      </c>
      <c r="B353" s="11">
        <v>801</v>
      </c>
      <c r="C353" t="str">
        <f t="shared" si="22"/>
        <v>1호</v>
      </c>
      <c r="D353" t="str">
        <f t="shared" si="24"/>
        <v>8</v>
      </c>
      <c r="E353" t="str">
        <f t="shared" si="23"/>
        <v>2071호8</v>
      </c>
    </row>
    <row r="354" spans="1:5" ht="16.5" customHeight="1" x14ac:dyDescent="0.4">
      <c r="A354">
        <v>207</v>
      </c>
      <c r="B354" s="11">
        <v>802</v>
      </c>
      <c r="C354" t="str">
        <f t="shared" si="22"/>
        <v>2호</v>
      </c>
      <c r="D354" t="str">
        <f t="shared" si="24"/>
        <v>8</v>
      </c>
      <c r="E354" t="str">
        <f t="shared" si="23"/>
        <v>2072호8</v>
      </c>
    </row>
    <row r="355" spans="1:5" ht="16.5" customHeight="1" x14ac:dyDescent="0.4">
      <c r="A355">
        <v>207</v>
      </c>
      <c r="B355" s="11">
        <v>803</v>
      </c>
      <c r="C355" t="str">
        <f t="shared" si="22"/>
        <v>3호</v>
      </c>
      <c r="D355" t="str">
        <f t="shared" si="24"/>
        <v>8</v>
      </c>
      <c r="E355" t="str">
        <f t="shared" si="23"/>
        <v>2073호8</v>
      </c>
    </row>
    <row r="356" spans="1:5" ht="16.5" customHeight="1" x14ac:dyDescent="0.4">
      <c r="A356">
        <v>207</v>
      </c>
      <c r="B356" s="11">
        <v>901</v>
      </c>
      <c r="C356" t="str">
        <f t="shared" si="22"/>
        <v>1호</v>
      </c>
      <c r="D356" t="str">
        <f t="shared" si="24"/>
        <v>9</v>
      </c>
      <c r="E356" t="str">
        <f t="shared" si="23"/>
        <v>2071호9</v>
      </c>
    </row>
    <row r="357" spans="1:5" ht="16.5" customHeight="1" x14ac:dyDescent="0.4">
      <c r="A357">
        <v>207</v>
      </c>
      <c r="B357" s="11">
        <v>902</v>
      </c>
      <c r="C357" t="str">
        <f t="shared" si="22"/>
        <v>2호</v>
      </c>
      <c r="D357" t="str">
        <f t="shared" si="24"/>
        <v>9</v>
      </c>
      <c r="E357" t="str">
        <f t="shared" si="23"/>
        <v>2072호9</v>
      </c>
    </row>
    <row r="358" spans="1:5" ht="16.5" customHeight="1" x14ac:dyDescent="0.4">
      <c r="A358">
        <v>207</v>
      </c>
      <c r="B358" s="24">
        <v>903</v>
      </c>
      <c r="C358" t="str">
        <f t="shared" si="22"/>
        <v>3호</v>
      </c>
      <c r="D358" t="str">
        <f t="shared" si="24"/>
        <v>9</v>
      </c>
      <c r="E358" t="str">
        <f t="shared" si="23"/>
        <v>2073호9</v>
      </c>
    </row>
    <row r="359" spans="1:5" ht="16.5" customHeight="1" x14ac:dyDescent="0.4">
      <c r="A359">
        <v>207</v>
      </c>
      <c r="B359" s="11">
        <v>1001</v>
      </c>
      <c r="C359" t="str">
        <f t="shared" si="22"/>
        <v>1호</v>
      </c>
      <c r="D359" t="str">
        <f t="shared" ref="D359:D372" si="25">LEFT(B359,2)</f>
        <v>10</v>
      </c>
      <c r="E359" t="str">
        <f t="shared" si="23"/>
        <v>2071호10</v>
      </c>
    </row>
    <row r="360" spans="1:5" ht="16.5" customHeight="1" x14ac:dyDescent="0.4">
      <c r="A360">
        <v>207</v>
      </c>
      <c r="B360" s="11">
        <v>1002</v>
      </c>
      <c r="C360" t="str">
        <f t="shared" si="22"/>
        <v>2호</v>
      </c>
      <c r="D360" t="str">
        <f t="shared" si="25"/>
        <v>10</v>
      </c>
      <c r="E360" t="str">
        <f t="shared" si="23"/>
        <v>2072호10</v>
      </c>
    </row>
    <row r="361" spans="1:5" ht="16.5" customHeight="1" x14ac:dyDescent="0.4">
      <c r="A361">
        <v>207</v>
      </c>
      <c r="B361" s="11">
        <v>1003</v>
      </c>
      <c r="C361" t="str">
        <f t="shared" si="22"/>
        <v>3호</v>
      </c>
      <c r="D361" t="str">
        <f t="shared" si="25"/>
        <v>10</v>
      </c>
      <c r="E361" t="str">
        <f t="shared" si="23"/>
        <v>2073호10</v>
      </c>
    </row>
    <row r="362" spans="1:5" ht="16.5" customHeight="1" x14ac:dyDescent="0.4">
      <c r="A362">
        <v>207</v>
      </c>
      <c r="B362" s="11">
        <v>1101</v>
      </c>
      <c r="C362" t="str">
        <f t="shared" si="22"/>
        <v>1호</v>
      </c>
      <c r="D362" t="str">
        <f t="shared" si="25"/>
        <v>11</v>
      </c>
      <c r="E362" t="str">
        <f t="shared" si="23"/>
        <v>2071호11</v>
      </c>
    </row>
    <row r="363" spans="1:5" ht="16.5" customHeight="1" x14ac:dyDescent="0.4">
      <c r="A363">
        <v>207</v>
      </c>
      <c r="B363" s="11">
        <v>1102</v>
      </c>
      <c r="C363" t="str">
        <f t="shared" si="22"/>
        <v>2호</v>
      </c>
      <c r="D363" t="str">
        <f t="shared" si="25"/>
        <v>11</v>
      </c>
      <c r="E363" t="str">
        <f t="shared" si="23"/>
        <v>2072호11</v>
      </c>
    </row>
    <row r="364" spans="1:5" ht="16.5" customHeight="1" x14ac:dyDescent="0.4">
      <c r="A364">
        <v>207</v>
      </c>
      <c r="B364" s="11">
        <v>1103</v>
      </c>
      <c r="C364" t="str">
        <f t="shared" si="22"/>
        <v>3호</v>
      </c>
      <c r="D364" t="str">
        <f t="shared" si="25"/>
        <v>11</v>
      </c>
      <c r="E364" t="str">
        <f t="shared" si="23"/>
        <v>2073호11</v>
      </c>
    </row>
    <row r="365" spans="1:5" ht="16.5" customHeight="1" x14ac:dyDescent="0.4">
      <c r="A365">
        <v>207</v>
      </c>
      <c r="B365" s="11">
        <v>1201</v>
      </c>
      <c r="C365" t="str">
        <f t="shared" si="22"/>
        <v>1호</v>
      </c>
      <c r="D365" t="str">
        <f t="shared" si="25"/>
        <v>12</v>
      </c>
      <c r="E365" t="str">
        <f t="shared" si="23"/>
        <v>2071호12</v>
      </c>
    </row>
    <row r="366" spans="1:5" ht="16.5" customHeight="1" x14ac:dyDescent="0.4">
      <c r="A366">
        <v>207</v>
      </c>
      <c r="B366" s="11">
        <v>1202</v>
      </c>
      <c r="C366" t="str">
        <f t="shared" si="22"/>
        <v>2호</v>
      </c>
      <c r="D366" t="str">
        <f t="shared" si="25"/>
        <v>12</v>
      </c>
      <c r="E366" t="str">
        <f t="shared" si="23"/>
        <v>2072호12</v>
      </c>
    </row>
    <row r="367" spans="1:5" ht="16.5" customHeight="1" x14ac:dyDescent="0.4">
      <c r="A367">
        <v>207</v>
      </c>
      <c r="B367" s="11">
        <v>1203</v>
      </c>
      <c r="C367" t="str">
        <f t="shared" si="22"/>
        <v>3호</v>
      </c>
      <c r="D367" t="str">
        <f t="shared" si="25"/>
        <v>12</v>
      </c>
      <c r="E367" t="str">
        <f t="shared" si="23"/>
        <v>2073호12</v>
      </c>
    </row>
    <row r="368" spans="1:5" ht="16.5" customHeight="1" x14ac:dyDescent="0.4">
      <c r="A368">
        <v>207</v>
      </c>
      <c r="B368" s="11">
        <v>1301</v>
      </c>
      <c r="C368" t="str">
        <f t="shared" si="22"/>
        <v>1호</v>
      </c>
      <c r="D368" t="str">
        <f t="shared" si="25"/>
        <v>13</v>
      </c>
      <c r="E368" t="str">
        <f t="shared" si="23"/>
        <v>2071호13</v>
      </c>
    </row>
    <row r="369" spans="1:5" ht="16.5" customHeight="1" x14ac:dyDescent="0.4">
      <c r="A369">
        <v>207</v>
      </c>
      <c r="B369" s="11">
        <v>1302</v>
      </c>
      <c r="C369" t="str">
        <f t="shared" si="22"/>
        <v>2호</v>
      </c>
      <c r="D369" t="str">
        <f t="shared" si="25"/>
        <v>13</v>
      </c>
      <c r="E369" t="str">
        <f t="shared" si="23"/>
        <v>2072호13</v>
      </c>
    </row>
    <row r="370" spans="1:5" ht="16.5" customHeight="1" x14ac:dyDescent="0.4">
      <c r="A370">
        <v>207</v>
      </c>
      <c r="B370" s="11">
        <v>1303</v>
      </c>
      <c r="C370" t="str">
        <f t="shared" si="22"/>
        <v>3호</v>
      </c>
      <c r="D370" t="str">
        <f t="shared" si="25"/>
        <v>13</v>
      </c>
      <c r="E370" t="str">
        <f t="shared" si="23"/>
        <v>2073호13</v>
      </c>
    </row>
    <row r="371" spans="1:5" ht="16.5" customHeight="1" x14ac:dyDescent="0.4">
      <c r="A371">
        <v>207</v>
      </c>
      <c r="B371" s="24">
        <v>1401</v>
      </c>
      <c r="C371" t="str">
        <f t="shared" si="22"/>
        <v>1호</v>
      </c>
      <c r="D371" t="str">
        <f t="shared" si="25"/>
        <v>14</v>
      </c>
      <c r="E371" t="str">
        <f t="shared" si="23"/>
        <v>2071호14</v>
      </c>
    </row>
    <row r="372" spans="1:5" ht="16.5" customHeight="1" x14ac:dyDescent="0.4">
      <c r="A372">
        <v>207</v>
      </c>
      <c r="B372" s="9">
        <v>1402</v>
      </c>
      <c r="C372" t="str">
        <f t="shared" si="22"/>
        <v>2호</v>
      </c>
      <c r="D372" t="str">
        <f t="shared" si="25"/>
        <v>14</v>
      </c>
      <c r="E372" t="str">
        <f t="shared" si="23"/>
        <v>2072호14</v>
      </c>
    </row>
    <row r="373" spans="1:5" ht="16.5" customHeight="1" x14ac:dyDescent="0.4">
      <c r="A373">
        <v>208</v>
      </c>
      <c r="B373" s="9">
        <v>102</v>
      </c>
      <c r="C373" t="str">
        <f t="shared" si="22"/>
        <v>2호</v>
      </c>
      <c r="D373" t="str">
        <f t="shared" ref="D373:D398" si="26">LEFT(B373,1)</f>
        <v>1</v>
      </c>
      <c r="E373" t="str">
        <f t="shared" si="23"/>
        <v>2082호1</v>
      </c>
    </row>
    <row r="374" spans="1:5" ht="16.5" customHeight="1" x14ac:dyDescent="0.4">
      <c r="A374">
        <v>208</v>
      </c>
      <c r="B374" s="9">
        <v>103</v>
      </c>
      <c r="C374" t="str">
        <f t="shared" si="22"/>
        <v>3호</v>
      </c>
      <c r="D374" t="str">
        <f t="shared" si="26"/>
        <v>1</v>
      </c>
      <c r="E374" t="str">
        <f t="shared" si="23"/>
        <v>2083호1</v>
      </c>
    </row>
    <row r="375" spans="1:5" ht="16.5" customHeight="1" x14ac:dyDescent="0.4">
      <c r="A375">
        <v>208</v>
      </c>
      <c r="B375" s="9">
        <v>201</v>
      </c>
      <c r="C375" t="str">
        <f t="shared" si="22"/>
        <v>1호</v>
      </c>
      <c r="D375" t="str">
        <f t="shared" si="26"/>
        <v>2</v>
      </c>
      <c r="E375" t="str">
        <f t="shared" si="23"/>
        <v>2081호2</v>
      </c>
    </row>
    <row r="376" spans="1:5" ht="16.5" customHeight="1" x14ac:dyDescent="0.4">
      <c r="A376">
        <v>208</v>
      </c>
      <c r="B376" s="9">
        <v>202</v>
      </c>
      <c r="C376" t="str">
        <f t="shared" si="22"/>
        <v>2호</v>
      </c>
      <c r="D376" t="str">
        <f t="shared" si="26"/>
        <v>2</v>
      </c>
      <c r="E376" t="str">
        <f t="shared" si="23"/>
        <v>2082호2</v>
      </c>
    </row>
    <row r="377" spans="1:5" ht="16.5" customHeight="1" x14ac:dyDescent="0.4">
      <c r="A377">
        <v>208</v>
      </c>
      <c r="B377" s="9">
        <v>203</v>
      </c>
      <c r="C377" t="str">
        <f t="shared" si="22"/>
        <v>3호</v>
      </c>
      <c r="D377" t="str">
        <f t="shared" si="26"/>
        <v>2</v>
      </c>
      <c r="E377" t="str">
        <f t="shared" si="23"/>
        <v>2083호2</v>
      </c>
    </row>
    <row r="378" spans="1:5" ht="16.5" customHeight="1" x14ac:dyDescent="0.4">
      <c r="A378">
        <v>208</v>
      </c>
      <c r="B378" s="9">
        <v>301</v>
      </c>
      <c r="C378" t="str">
        <f t="shared" si="22"/>
        <v>1호</v>
      </c>
      <c r="D378" t="str">
        <f t="shared" si="26"/>
        <v>3</v>
      </c>
      <c r="E378" t="str">
        <f t="shared" si="23"/>
        <v>2081호3</v>
      </c>
    </row>
    <row r="379" spans="1:5" ht="16.5" customHeight="1" x14ac:dyDescent="0.4">
      <c r="A379">
        <v>208</v>
      </c>
      <c r="B379" s="9">
        <v>302</v>
      </c>
      <c r="C379" t="str">
        <f t="shared" si="22"/>
        <v>2호</v>
      </c>
      <c r="D379" t="str">
        <f t="shared" si="26"/>
        <v>3</v>
      </c>
      <c r="E379" t="str">
        <f t="shared" si="23"/>
        <v>2082호3</v>
      </c>
    </row>
    <row r="380" spans="1:5" ht="16.5" customHeight="1" x14ac:dyDescent="0.4">
      <c r="A380">
        <v>208</v>
      </c>
      <c r="B380" s="9">
        <v>303</v>
      </c>
      <c r="C380" t="str">
        <f t="shared" si="22"/>
        <v>3호</v>
      </c>
      <c r="D380" t="str">
        <f t="shared" si="26"/>
        <v>3</v>
      </c>
      <c r="E380" t="str">
        <f t="shared" si="23"/>
        <v>2083호3</v>
      </c>
    </row>
    <row r="381" spans="1:5" ht="16.5" customHeight="1" x14ac:dyDescent="0.4">
      <c r="A381">
        <v>208</v>
      </c>
      <c r="B381" s="9">
        <v>401</v>
      </c>
      <c r="C381" t="str">
        <f t="shared" si="22"/>
        <v>1호</v>
      </c>
      <c r="D381" t="str">
        <f t="shared" si="26"/>
        <v>4</v>
      </c>
      <c r="E381" t="str">
        <f t="shared" si="23"/>
        <v>2081호4</v>
      </c>
    </row>
    <row r="382" spans="1:5" ht="16.5" customHeight="1" x14ac:dyDescent="0.4">
      <c r="A382">
        <v>208</v>
      </c>
      <c r="B382" s="9">
        <v>402</v>
      </c>
      <c r="C382" t="str">
        <f t="shared" si="22"/>
        <v>2호</v>
      </c>
      <c r="D382" t="str">
        <f t="shared" si="26"/>
        <v>4</v>
      </c>
      <c r="E382" t="str">
        <f t="shared" si="23"/>
        <v>2082호4</v>
      </c>
    </row>
    <row r="383" spans="1:5" ht="16.5" customHeight="1" x14ac:dyDescent="0.4">
      <c r="A383">
        <v>208</v>
      </c>
      <c r="B383" s="9">
        <v>403</v>
      </c>
      <c r="C383" t="str">
        <f t="shared" si="22"/>
        <v>3호</v>
      </c>
      <c r="D383" t="str">
        <f t="shared" si="26"/>
        <v>4</v>
      </c>
      <c r="E383" t="str">
        <f t="shared" si="23"/>
        <v>2083호4</v>
      </c>
    </row>
    <row r="384" spans="1:5" ht="16.5" customHeight="1" x14ac:dyDescent="0.4">
      <c r="A384">
        <v>208</v>
      </c>
      <c r="B384" s="11">
        <v>501</v>
      </c>
      <c r="C384" t="str">
        <f t="shared" si="22"/>
        <v>1호</v>
      </c>
      <c r="D384" t="str">
        <f t="shared" si="26"/>
        <v>5</v>
      </c>
      <c r="E384" t="str">
        <f t="shared" si="23"/>
        <v>2081호5</v>
      </c>
    </row>
    <row r="385" spans="1:5" ht="16.5" customHeight="1" x14ac:dyDescent="0.4">
      <c r="A385">
        <v>208</v>
      </c>
      <c r="B385" s="11">
        <v>502</v>
      </c>
      <c r="C385" t="str">
        <f t="shared" si="22"/>
        <v>2호</v>
      </c>
      <c r="D385" t="str">
        <f t="shared" si="26"/>
        <v>5</v>
      </c>
      <c r="E385" t="str">
        <f t="shared" si="23"/>
        <v>2082호5</v>
      </c>
    </row>
    <row r="386" spans="1:5" ht="16.5" customHeight="1" x14ac:dyDescent="0.4">
      <c r="A386">
        <v>208</v>
      </c>
      <c r="B386" s="11">
        <v>503</v>
      </c>
      <c r="C386" t="str">
        <f t="shared" si="22"/>
        <v>3호</v>
      </c>
      <c r="D386" t="str">
        <f t="shared" si="26"/>
        <v>5</v>
      </c>
      <c r="E386" t="str">
        <f t="shared" si="23"/>
        <v>2083호5</v>
      </c>
    </row>
    <row r="387" spans="1:5" ht="16.5" customHeight="1" x14ac:dyDescent="0.4">
      <c r="A387">
        <v>208</v>
      </c>
      <c r="B387" s="11">
        <v>601</v>
      </c>
      <c r="C387" t="str">
        <f t="shared" si="22"/>
        <v>1호</v>
      </c>
      <c r="D387" t="str">
        <f t="shared" si="26"/>
        <v>6</v>
      </c>
      <c r="E387" t="str">
        <f t="shared" si="23"/>
        <v>2081호6</v>
      </c>
    </row>
    <row r="388" spans="1:5" ht="16.5" customHeight="1" x14ac:dyDescent="0.4">
      <c r="A388">
        <v>208</v>
      </c>
      <c r="B388" s="11">
        <v>602</v>
      </c>
      <c r="C388" t="str">
        <f t="shared" ref="C388:C451" si="27">RIGHT(B388,1)&amp;"호"</f>
        <v>2호</v>
      </c>
      <c r="D388" t="str">
        <f t="shared" si="26"/>
        <v>6</v>
      </c>
      <c r="E388" t="str">
        <f t="shared" ref="E388:E451" si="28">A388&amp;C388&amp;D388</f>
        <v>2082호6</v>
      </c>
    </row>
    <row r="389" spans="1:5" ht="16.5" customHeight="1" x14ac:dyDescent="0.4">
      <c r="A389">
        <v>208</v>
      </c>
      <c r="B389" s="11">
        <v>603</v>
      </c>
      <c r="C389" t="str">
        <f t="shared" si="27"/>
        <v>3호</v>
      </c>
      <c r="D389" t="str">
        <f t="shared" si="26"/>
        <v>6</v>
      </c>
      <c r="E389" t="str">
        <f t="shared" si="28"/>
        <v>2083호6</v>
      </c>
    </row>
    <row r="390" spans="1:5" ht="16.5" customHeight="1" x14ac:dyDescent="0.4">
      <c r="A390">
        <v>208</v>
      </c>
      <c r="B390" s="11">
        <v>701</v>
      </c>
      <c r="C390" t="str">
        <f t="shared" si="27"/>
        <v>1호</v>
      </c>
      <c r="D390" t="str">
        <f t="shared" si="26"/>
        <v>7</v>
      </c>
      <c r="E390" t="str">
        <f t="shared" si="28"/>
        <v>2081호7</v>
      </c>
    </row>
    <row r="391" spans="1:5" ht="16.5" customHeight="1" x14ac:dyDescent="0.4">
      <c r="A391">
        <v>208</v>
      </c>
      <c r="B391" s="11">
        <v>702</v>
      </c>
      <c r="C391" t="str">
        <f t="shared" si="27"/>
        <v>2호</v>
      </c>
      <c r="D391" t="str">
        <f t="shared" si="26"/>
        <v>7</v>
      </c>
      <c r="E391" t="str">
        <f t="shared" si="28"/>
        <v>2082호7</v>
      </c>
    </row>
    <row r="392" spans="1:5" ht="16.5" customHeight="1" x14ac:dyDescent="0.4">
      <c r="A392">
        <v>208</v>
      </c>
      <c r="B392" s="11">
        <v>703</v>
      </c>
      <c r="C392" t="str">
        <f t="shared" si="27"/>
        <v>3호</v>
      </c>
      <c r="D392" t="str">
        <f t="shared" si="26"/>
        <v>7</v>
      </c>
      <c r="E392" t="str">
        <f t="shared" si="28"/>
        <v>2083호7</v>
      </c>
    </row>
    <row r="393" spans="1:5" ht="16.5" customHeight="1" x14ac:dyDescent="0.4">
      <c r="A393">
        <v>208</v>
      </c>
      <c r="B393" s="11">
        <v>801</v>
      </c>
      <c r="C393" t="str">
        <f t="shared" si="27"/>
        <v>1호</v>
      </c>
      <c r="D393" t="str">
        <f t="shared" si="26"/>
        <v>8</v>
      </c>
      <c r="E393" t="str">
        <f t="shared" si="28"/>
        <v>2081호8</v>
      </c>
    </row>
    <row r="394" spans="1:5" ht="16.5" customHeight="1" x14ac:dyDescent="0.4">
      <c r="A394">
        <v>208</v>
      </c>
      <c r="B394" s="11">
        <v>802</v>
      </c>
      <c r="C394" t="str">
        <f t="shared" si="27"/>
        <v>2호</v>
      </c>
      <c r="D394" t="str">
        <f t="shared" si="26"/>
        <v>8</v>
      </c>
      <c r="E394" t="str">
        <f t="shared" si="28"/>
        <v>2082호8</v>
      </c>
    </row>
    <row r="395" spans="1:5" ht="16.5" customHeight="1" x14ac:dyDescent="0.4">
      <c r="A395">
        <v>208</v>
      </c>
      <c r="B395" s="11">
        <v>803</v>
      </c>
      <c r="C395" t="str">
        <f t="shared" si="27"/>
        <v>3호</v>
      </c>
      <c r="D395" t="str">
        <f t="shared" si="26"/>
        <v>8</v>
      </c>
      <c r="E395" t="str">
        <f t="shared" si="28"/>
        <v>2083호8</v>
      </c>
    </row>
    <row r="396" spans="1:5" ht="16.5" customHeight="1" x14ac:dyDescent="0.4">
      <c r="A396">
        <v>208</v>
      </c>
      <c r="B396" s="24">
        <v>901</v>
      </c>
      <c r="C396" t="str">
        <f t="shared" si="27"/>
        <v>1호</v>
      </c>
      <c r="D396" t="str">
        <f t="shared" si="26"/>
        <v>9</v>
      </c>
      <c r="E396" t="str">
        <f t="shared" si="28"/>
        <v>2081호9</v>
      </c>
    </row>
    <row r="397" spans="1:5" ht="16.5" customHeight="1" x14ac:dyDescent="0.4">
      <c r="A397">
        <v>208</v>
      </c>
      <c r="B397" s="11">
        <v>902</v>
      </c>
      <c r="C397" t="str">
        <f t="shared" si="27"/>
        <v>2호</v>
      </c>
      <c r="D397" t="str">
        <f t="shared" si="26"/>
        <v>9</v>
      </c>
      <c r="E397" t="str">
        <f t="shared" si="28"/>
        <v>2082호9</v>
      </c>
    </row>
    <row r="398" spans="1:5" ht="16.5" customHeight="1" x14ac:dyDescent="0.4">
      <c r="A398">
        <v>208</v>
      </c>
      <c r="B398" s="11">
        <v>903</v>
      </c>
      <c r="C398" t="str">
        <f t="shared" si="27"/>
        <v>3호</v>
      </c>
      <c r="D398" t="str">
        <f t="shared" si="26"/>
        <v>9</v>
      </c>
      <c r="E398" t="str">
        <f t="shared" si="28"/>
        <v>2083호9</v>
      </c>
    </row>
    <row r="399" spans="1:5" ht="16.5" customHeight="1" x14ac:dyDescent="0.4">
      <c r="A399">
        <v>208</v>
      </c>
      <c r="B399" s="11">
        <v>1001</v>
      </c>
      <c r="C399" t="str">
        <f t="shared" si="27"/>
        <v>1호</v>
      </c>
      <c r="D399" t="str">
        <f t="shared" ref="D399:D410" si="29">LEFT(B399,2)</f>
        <v>10</v>
      </c>
      <c r="E399" t="str">
        <f t="shared" si="28"/>
        <v>2081호10</v>
      </c>
    </row>
    <row r="400" spans="1:5" ht="16.5" customHeight="1" x14ac:dyDescent="0.4">
      <c r="A400">
        <v>208</v>
      </c>
      <c r="B400" s="11">
        <v>1002</v>
      </c>
      <c r="C400" t="str">
        <f t="shared" si="27"/>
        <v>2호</v>
      </c>
      <c r="D400" t="str">
        <f t="shared" si="29"/>
        <v>10</v>
      </c>
      <c r="E400" t="str">
        <f t="shared" si="28"/>
        <v>2082호10</v>
      </c>
    </row>
    <row r="401" spans="1:5" ht="16.5" customHeight="1" x14ac:dyDescent="0.4">
      <c r="A401">
        <v>208</v>
      </c>
      <c r="B401" s="11">
        <v>1003</v>
      </c>
      <c r="C401" t="str">
        <f t="shared" si="27"/>
        <v>3호</v>
      </c>
      <c r="D401" t="str">
        <f t="shared" si="29"/>
        <v>10</v>
      </c>
      <c r="E401" t="str">
        <f t="shared" si="28"/>
        <v>2083호10</v>
      </c>
    </row>
    <row r="402" spans="1:5" ht="16.5" customHeight="1" x14ac:dyDescent="0.4">
      <c r="A402">
        <v>208</v>
      </c>
      <c r="B402" s="11">
        <v>1101</v>
      </c>
      <c r="C402" t="str">
        <f t="shared" si="27"/>
        <v>1호</v>
      </c>
      <c r="D402" t="str">
        <f t="shared" si="29"/>
        <v>11</v>
      </c>
      <c r="E402" t="str">
        <f t="shared" si="28"/>
        <v>2081호11</v>
      </c>
    </row>
    <row r="403" spans="1:5" ht="16.5" customHeight="1" x14ac:dyDescent="0.4">
      <c r="A403">
        <v>208</v>
      </c>
      <c r="B403" s="11">
        <v>1102</v>
      </c>
      <c r="C403" t="str">
        <f t="shared" si="27"/>
        <v>2호</v>
      </c>
      <c r="D403" t="str">
        <f t="shared" si="29"/>
        <v>11</v>
      </c>
      <c r="E403" t="str">
        <f t="shared" si="28"/>
        <v>2082호11</v>
      </c>
    </row>
    <row r="404" spans="1:5" ht="16.5" customHeight="1" x14ac:dyDescent="0.4">
      <c r="A404">
        <v>208</v>
      </c>
      <c r="B404" s="11">
        <v>1103</v>
      </c>
      <c r="C404" t="str">
        <f t="shared" si="27"/>
        <v>3호</v>
      </c>
      <c r="D404" t="str">
        <f t="shared" si="29"/>
        <v>11</v>
      </c>
      <c r="E404" t="str">
        <f t="shared" si="28"/>
        <v>2083호11</v>
      </c>
    </row>
    <row r="405" spans="1:5" ht="16.5" customHeight="1" x14ac:dyDescent="0.4">
      <c r="A405">
        <v>208</v>
      </c>
      <c r="B405" s="11">
        <v>1201</v>
      </c>
      <c r="C405" t="str">
        <f t="shared" si="27"/>
        <v>1호</v>
      </c>
      <c r="D405" t="str">
        <f t="shared" si="29"/>
        <v>12</v>
      </c>
      <c r="E405" t="str">
        <f t="shared" si="28"/>
        <v>2081호12</v>
      </c>
    </row>
    <row r="406" spans="1:5" ht="16.5" customHeight="1" x14ac:dyDescent="0.4">
      <c r="A406">
        <v>208</v>
      </c>
      <c r="B406" s="11">
        <v>1202</v>
      </c>
      <c r="C406" t="str">
        <f t="shared" si="27"/>
        <v>2호</v>
      </c>
      <c r="D406" t="str">
        <f t="shared" si="29"/>
        <v>12</v>
      </c>
      <c r="E406" t="str">
        <f t="shared" si="28"/>
        <v>2082호12</v>
      </c>
    </row>
    <row r="407" spans="1:5" ht="16.5" customHeight="1" x14ac:dyDescent="0.4">
      <c r="A407">
        <v>208</v>
      </c>
      <c r="B407" s="11">
        <v>1203</v>
      </c>
      <c r="C407" t="str">
        <f t="shared" si="27"/>
        <v>3호</v>
      </c>
      <c r="D407" t="str">
        <f t="shared" si="29"/>
        <v>12</v>
      </c>
      <c r="E407" t="str">
        <f t="shared" si="28"/>
        <v>2083호12</v>
      </c>
    </row>
    <row r="408" spans="1:5" ht="16.5" customHeight="1" x14ac:dyDescent="0.4">
      <c r="A408">
        <v>208</v>
      </c>
      <c r="B408" s="11">
        <v>1301</v>
      </c>
      <c r="C408" t="str">
        <f t="shared" si="27"/>
        <v>1호</v>
      </c>
      <c r="D408" t="str">
        <f t="shared" si="29"/>
        <v>13</v>
      </c>
      <c r="E408" t="str">
        <f t="shared" si="28"/>
        <v>2081호13</v>
      </c>
    </row>
    <row r="409" spans="1:5" ht="16.5" customHeight="1" x14ac:dyDescent="0.4">
      <c r="A409">
        <v>208</v>
      </c>
      <c r="B409" s="24">
        <v>1302</v>
      </c>
      <c r="C409" t="str">
        <f t="shared" si="27"/>
        <v>2호</v>
      </c>
      <c r="D409" t="str">
        <f t="shared" si="29"/>
        <v>13</v>
      </c>
      <c r="E409" t="str">
        <f t="shared" si="28"/>
        <v>2082호13</v>
      </c>
    </row>
    <row r="410" spans="1:5" ht="16.5" customHeight="1" x14ac:dyDescent="0.4">
      <c r="A410">
        <v>208</v>
      </c>
      <c r="B410" s="9">
        <v>1303</v>
      </c>
      <c r="C410" t="str">
        <f t="shared" si="27"/>
        <v>3호</v>
      </c>
      <c r="D410" t="str">
        <f t="shared" si="29"/>
        <v>13</v>
      </c>
      <c r="E410" t="str">
        <f t="shared" si="28"/>
        <v>2083호13</v>
      </c>
    </row>
    <row r="411" spans="1:5" ht="16.5" customHeight="1" x14ac:dyDescent="0.4">
      <c r="A411">
        <v>209</v>
      </c>
      <c r="B411" s="9">
        <v>101</v>
      </c>
      <c r="C411" t="str">
        <f t="shared" si="27"/>
        <v>1호</v>
      </c>
      <c r="D411" t="str">
        <f t="shared" ref="D411:D436" si="30">LEFT(B411,1)</f>
        <v>1</v>
      </c>
      <c r="E411" t="str">
        <f t="shared" si="28"/>
        <v>2091호1</v>
      </c>
    </row>
    <row r="412" spans="1:5" ht="16.5" customHeight="1" x14ac:dyDescent="0.4">
      <c r="A412">
        <v>209</v>
      </c>
      <c r="B412" s="9">
        <v>102</v>
      </c>
      <c r="C412" t="str">
        <f t="shared" si="27"/>
        <v>2호</v>
      </c>
      <c r="D412" t="str">
        <f t="shared" si="30"/>
        <v>1</v>
      </c>
      <c r="E412" t="str">
        <f t="shared" si="28"/>
        <v>2092호1</v>
      </c>
    </row>
    <row r="413" spans="1:5" ht="16.5" customHeight="1" x14ac:dyDescent="0.4">
      <c r="A413">
        <v>209</v>
      </c>
      <c r="B413" s="9">
        <v>201</v>
      </c>
      <c r="C413" t="str">
        <f t="shared" si="27"/>
        <v>1호</v>
      </c>
      <c r="D413" t="str">
        <f t="shared" si="30"/>
        <v>2</v>
      </c>
      <c r="E413" t="str">
        <f t="shared" si="28"/>
        <v>2091호2</v>
      </c>
    </row>
    <row r="414" spans="1:5" ht="16.5" customHeight="1" x14ac:dyDescent="0.4">
      <c r="A414">
        <v>209</v>
      </c>
      <c r="B414" s="9">
        <v>202</v>
      </c>
      <c r="C414" t="str">
        <f t="shared" si="27"/>
        <v>2호</v>
      </c>
      <c r="D414" t="str">
        <f t="shared" si="30"/>
        <v>2</v>
      </c>
      <c r="E414" t="str">
        <f t="shared" si="28"/>
        <v>2092호2</v>
      </c>
    </row>
    <row r="415" spans="1:5" ht="16.5" customHeight="1" x14ac:dyDescent="0.4">
      <c r="A415">
        <v>209</v>
      </c>
      <c r="B415" s="9">
        <v>203</v>
      </c>
      <c r="C415" t="str">
        <f t="shared" si="27"/>
        <v>3호</v>
      </c>
      <c r="D415" t="str">
        <f t="shared" si="30"/>
        <v>2</v>
      </c>
      <c r="E415" t="str">
        <f t="shared" si="28"/>
        <v>2093호2</v>
      </c>
    </row>
    <row r="416" spans="1:5" ht="16.5" customHeight="1" x14ac:dyDescent="0.4">
      <c r="A416">
        <v>209</v>
      </c>
      <c r="B416" s="9">
        <v>301</v>
      </c>
      <c r="C416" t="str">
        <f t="shared" si="27"/>
        <v>1호</v>
      </c>
      <c r="D416" t="str">
        <f t="shared" si="30"/>
        <v>3</v>
      </c>
      <c r="E416" t="str">
        <f t="shared" si="28"/>
        <v>2091호3</v>
      </c>
    </row>
    <row r="417" spans="1:5" ht="16.5" customHeight="1" x14ac:dyDescent="0.4">
      <c r="A417">
        <v>209</v>
      </c>
      <c r="B417" s="9">
        <v>302</v>
      </c>
      <c r="C417" t="str">
        <f t="shared" si="27"/>
        <v>2호</v>
      </c>
      <c r="D417" t="str">
        <f t="shared" si="30"/>
        <v>3</v>
      </c>
      <c r="E417" t="str">
        <f t="shared" si="28"/>
        <v>2092호3</v>
      </c>
    </row>
    <row r="418" spans="1:5" ht="16.5" customHeight="1" x14ac:dyDescent="0.4">
      <c r="A418">
        <v>209</v>
      </c>
      <c r="B418" s="9">
        <v>303</v>
      </c>
      <c r="C418" t="str">
        <f t="shared" si="27"/>
        <v>3호</v>
      </c>
      <c r="D418" t="str">
        <f t="shared" si="30"/>
        <v>3</v>
      </c>
      <c r="E418" t="str">
        <f t="shared" si="28"/>
        <v>2093호3</v>
      </c>
    </row>
    <row r="419" spans="1:5" ht="16.5" customHeight="1" x14ac:dyDescent="0.4">
      <c r="A419">
        <v>209</v>
      </c>
      <c r="B419" s="9">
        <v>401</v>
      </c>
      <c r="C419" t="str">
        <f t="shared" si="27"/>
        <v>1호</v>
      </c>
      <c r="D419" t="str">
        <f t="shared" si="30"/>
        <v>4</v>
      </c>
      <c r="E419" t="str">
        <f t="shared" si="28"/>
        <v>2091호4</v>
      </c>
    </row>
    <row r="420" spans="1:5" ht="16.5" customHeight="1" x14ac:dyDescent="0.4">
      <c r="A420">
        <v>209</v>
      </c>
      <c r="B420" s="9">
        <v>402</v>
      </c>
      <c r="C420" t="str">
        <f t="shared" si="27"/>
        <v>2호</v>
      </c>
      <c r="D420" t="str">
        <f t="shared" si="30"/>
        <v>4</v>
      </c>
      <c r="E420" t="str">
        <f t="shared" si="28"/>
        <v>2092호4</v>
      </c>
    </row>
    <row r="421" spans="1:5" ht="16.5" customHeight="1" x14ac:dyDescent="0.4">
      <c r="A421">
        <v>209</v>
      </c>
      <c r="B421" s="9">
        <v>403</v>
      </c>
      <c r="C421" t="str">
        <f t="shared" si="27"/>
        <v>3호</v>
      </c>
      <c r="D421" t="str">
        <f t="shared" si="30"/>
        <v>4</v>
      </c>
      <c r="E421" t="str">
        <f t="shared" si="28"/>
        <v>2093호4</v>
      </c>
    </row>
    <row r="422" spans="1:5" ht="16.5" customHeight="1" x14ac:dyDescent="0.4">
      <c r="A422">
        <v>209</v>
      </c>
      <c r="B422" s="9">
        <v>501</v>
      </c>
      <c r="C422" t="str">
        <f t="shared" si="27"/>
        <v>1호</v>
      </c>
      <c r="D422" t="str">
        <f t="shared" si="30"/>
        <v>5</v>
      </c>
      <c r="E422" t="str">
        <f t="shared" si="28"/>
        <v>2091호5</v>
      </c>
    </row>
    <row r="423" spans="1:5" ht="16.5" customHeight="1" x14ac:dyDescent="0.4">
      <c r="A423">
        <v>209</v>
      </c>
      <c r="B423" s="22">
        <v>502</v>
      </c>
      <c r="C423" t="str">
        <f t="shared" si="27"/>
        <v>2호</v>
      </c>
      <c r="D423" t="str">
        <f t="shared" si="30"/>
        <v>5</v>
      </c>
      <c r="E423" t="str">
        <f t="shared" si="28"/>
        <v>2092호5</v>
      </c>
    </row>
    <row r="424" spans="1:5" ht="16.5" customHeight="1" x14ac:dyDescent="0.4">
      <c r="A424">
        <v>209</v>
      </c>
      <c r="B424" s="11">
        <v>503</v>
      </c>
      <c r="C424" t="str">
        <f t="shared" si="27"/>
        <v>3호</v>
      </c>
      <c r="D424" t="str">
        <f t="shared" si="30"/>
        <v>5</v>
      </c>
      <c r="E424" t="str">
        <f t="shared" si="28"/>
        <v>2093호5</v>
      </c>
    </row>
    <row r="425" spans="1:5" ht="16.5" customHeight="1" x14ac:dyDescent="0.4">
      <c r="A425">
        <v>209</v>
      </c>
      <c r="B425" s="11">
        <v>601</v>
      </c>
      <c r="C425" t="str">
        <f t="shared" si="27"/>
        <v>1호</v>
      </c>
      <c r="D425" t="str">
        <f t="shared" si="30"/>
        <v>6</v>
      </c>
      <c r="E425" t="str">
        <f t="shared" si="28"/>
        <v>2091호6</v>
      </c>
    </row>
    <row r="426" spans="1:5" ht="16.5" customHeight="1" x14ac:dyDescent="0.4">
      <c r="A426">
        <v>209</v>
      </c>
      <c r="B426" s="11">
        <v>602</v>
      </c>
      <c r="C426" t="str">
        <f t="shared" si="27"/>
        <v>2호</v>
      </c>
      <c r="D426" t="str">
        <f t="shared" si="30"/>
        <v>6</v>
      </c>
      <c r="E426" t="str">
        <f t="shared" si="28"/>
        <v>2092호6</v>
      </c>
    </row>
    <row r="427" spans="1:5" ht="16.5" customHeight="1" x14ac:dyDescent="0.4">
      <c r="A427">
        <v>209</v>
      </c>
      <c r="B427" s="11">
        <v>603</v>
      </c>
      <c r="C427" t="str">
        <f t="shared" si="27"/>
        <v>3호</v>
      </c>
      <c r="D427" t="str">
        <f t="shared" si="30"/>
        <v>6</v>
      </c>
      <c r="E427" t="str">
        <f t="shared" si="28"/>
        <v>2093호6</v>
      </c>
    </row>
    <row r="428" spans="1:5" ht="16.5" customHeight="1" x14ac:dyDescent="0.4">
      <c r="A428">
        <v>209</v>
      </c>
      <c r="B428" s="11">
        <v>701</v>
      </c>
      <c r="C428" t="str">
        <f t="shared" si="27"/>
        <v>1호</v>
      </c>
      <c r="D428" t="str">
        <f t="shared" si="30"/>
        <v>7</v>
      </c>
      <c r="E428" t="str">
        <f t="shared" si="28"/>
        <v>2091호7</v>
      </c>
    </row>
    <row r="429" spans="1:5" ht="16.5" customHeight="1" x14ac:dyDescent="0.4">
      <c r="A429">
        <v>209</v>
      </c>
      <c r="B429" s="11">
        <v>702</v>
      </c>
      <c r="C429" t="str">
        <f t="shared" si="27"/>
        <v>2호</v>
      </c>
      <c r="D429" t="str">
        <f t="shared" si="30"/>
        <v>7</v>
      </c>
      <c r="E429" t="str">
        <f t="shared" si="28"/>
        <v>2092호7</v>
      </c>
    </row>
    <row r="430" spans="1:5" ht="16.5" customHeight="1" x14ac:dyDescent="0.4">
      <c r="A430">
        <v>209</v>
      </c>
      <c r="B430" s="11">
        <v>703</v>
      </c>
      <c r="C430" t="str">
        <f t="shared" si="27"/>
        <v>3호</v>
      </c>
      <c r="D430" t="str">
        <f t="shared" si="30"/>
        <v>7</v>
      </c>
      <c r="E430" t="str">
        <f t="shared" si="28"/>
        <v>2093호7</v>
      </c>
    </row>
    <row r="431" spans="1:5" ht="16.5" customHeight="1" x14ac:dyDescent="0.4">
      <c r="A431">
        <v>209</v>
      </c>
      <c r="B431" s="11">
        <v>801</v>
      </c>
      <c r="C431" t="str">
        <f t="shared" si="27"/>
        <v>1호</v>
      </c>
      <c r="D431" t="str">
        <f t="shared" si="30"/>
        <v>8</v>
      </c>
      <c r="E431" t="str">
        <f t="shared" si="28"/>
        <v>2091호8</v>
      </c>
    </row>
    <row r="432" spans="1:5" ht="16.5" customHeight="1" x14ac:dyDescent="0.4">
      <c r="A432">
        <v>209</v>
      </c>
      <c r="B432" s="11">
        <v>802</v>
      </c>
      <c r="C432" t="str">
        <f t="shared" si="27"/>
        <v>2호</v>
      </c>
      <c r="D432" t="str">
        <f t="shared" si="30"/>
        <v>8</v>
      </c>
      <c r="E432" t="str">
        <f t="shared" si="28"/>
        <v>2092호8</v>
      </c>
    </row>
    <row r="433" spans="1:5" ht="16.5" customHeight="1" x14ac:dyDescent="0.4">
      <c r="A433">
        <v>209</v>
      </c>
      <c r="B433" s="11">
        <v>803</v>
      </c>
      <c r="C433" t="str">
        <f t="shared" si="27"/>
        <v>3호</v>
      </c>
      <c r="D433" t="str">
        <f t="shared" si="30"/>
        <v>8</v>
      </c>
      <c r="E433" t="str">
        <f t="shared" si="28"/>
        <v>2093호8</v>
      </c>
    </row>
    <row r="434" spans="1:5" ht="16.5" customHeight="1" x14ac:dyDescent="0.4">
      <c r="A434">
        <v>209</v>
      </c>
      <c r="B434" s="11">
        <v>901</v>
      </c>
      <c r="C434" t="str">
        <f t="shared" si="27"/>
        <v>1호</v>
      </c>
      <c r="D434" t="str">
        <f t="shared" si="30"/>
        <v>9</v>
      </c>
      <c r="E434" t="str">
        <f t="shared" si="28"/>
        <v>2091호9</v>
      </c>
    </row>
    <row r="435" spans="1:5" ht="16.5" customHeight="1" x14ac:dyDescent="0.4">
      <c r="A435">
        <v>209</v>
      </c>
      <c r="B435" s="11">
        <v>902</v>
      </c>
      <c r="C435" t="str">
        <f t="shared" si="27"/>
        <v>2호</v>
      </c>
      <c r="D435" t="str">
        <f t="shared" si="30"/>
        <v>9</v>
      </c>
      <c r="E435" t="str">
        <f t="shared" si="28"/>
        <v>2092호9</v>
      </c>
    </row>
    <row r="436" spans="1:5" ht="16.5" customHeight="1" x14ac:dyDescent="0.4">
      <c r="A436">
        <v>209</v>
      </c>
      <c r="B436" s="11">
        <v>903</v>
      </c>
      <c r="C436" t="str">
        <f t="shared" si="27"/>
        <v>3호</v>
      </c>
      <c r="D436" t="str">
        <f t="shared" si="30"/>
        <v>9</v>
      </c>
      <c r="E436" t="str">
        <f t="shared" si="28"/>
        <v>2093호9</v>
      </c>
    </row>
    <row r="437" spans="1:5" ht="16.5" customHeight="1" x14ac:dyDescent="0.4">
      <c r="A437">
        <v>209</v>
      </c>
      <c r="B437" s="24">
        <v>1001</v>
      </c>
      <c r="C437" t="str">
        <f t="shared" si="27"/>
        <v>1호</v>
      </c>
      <c r="D437" t="str">
        <f t="shared" ref="D437:D451" si="31">LEFT(B437,2)</f>
        <v>10</v>
      </c>
      <c r="E437" t="str">
        <f t="shared" si="28"/>
        <v>2091호10</v>
      </c>
    </row>
    <row r="438" spans="1:5" ht="16.5" customHeight="1" x14ac:dyDescent="0.4">
      <c r="A438">
        <v>209</v>
      </c>
      <c r="B438" s="11">
        <v>1002</v>
      </c>
      <c r="C438" t="str">
        <f t="shared" si="27"/>
        <v>2호</v>
      </c>
      <c r="D438" t="str">
        <f t="shared" si="31"/>
        <v>10</v>
      </c>
      <c r="E438" t="str">
        <f t="shared" si="28"/>
        <v>2092호10</v>
      </c>
    </row>
    <row r="439" spans="1:5" ht="16.5" customHeight="1" x14ac:dyDescent="0.4">
      <c r="A439">
        <v>209</v>
      </c>
      <c r="B439" s="11">
        <v>1003</v>
      </c>
      <c r="C439" t="str">
        <f t="shared" si="27"/>
        <v>3호</v>
      </c>
      <c r="D439" t="str">
        <f t="shared" si="31"/>
        <v>10</v>
      </c>
      <c r="E439" t="str">
        <f t="shared" si="28"/>
        <v>2093호10</v>
      </c>
    </row>
    <row r="440" spans="1:5" ht="16.5" customHeight="1" x14ac:dyDescent="0.4">
      <c r="A440">
        <v>209</v>
      </c>
      <c r="B440" s="11">
        <v>1101</v>
      </c>
      <c r="C440" t="str">
        <f t="shared" si="27"/>
        <v>1호</v>
      </c>
      <c r="D440" t="str">
        <f t="shared" si="31"/>
        <v>11</v>
      </c>
      <c r="E440" t="str">
        <f t="shared" si="28"/>
        <v>2091호11</v>
      </c>
    </row>
    <row r="441" spans="1:5" ht="16.5" customHeight="1" x14ac:dyDescent="0.4">
      <c r="A441">
        <v>209</v>
      </c>
      <c r="B441" s="11">
        <v>1102</v>
      </c>
      <c r="C441" t="str">
        <f t="shared" si="27"/>
        <v>2호</v>
      </c>
      <c r="D441" t="str">
        <f t="shared" si="31"/>
        <v>11</v>
      </c>
      <c r="E441" t="str">
        <f t="shared" si="28"/>
        <v>2092호11</v>
      </c>
    </row>
    <row r="442" spans="1:5" ht="16.5" customHeight="1" x14ac:dyDescent="0.4">
      <c r="A442">
        <v>209</v>
      </c>
      <c r="B442" s="11">
        <v>1103</v>
      </c>
      <c r="C442" t="str">
        <f t="shared" si="27"/>
        <v>3호</v>
      </c>
      <c r="D442" t="str">
        <f t="shared" si="31"/>
        <v>11</v>
      </c>
      <c r="E442" t="str">
        <f t="shared" si="28"/>
        <v>2093호11</v>
      </c>
    </row>
    <row r="443" spans="1:5" ht="16.5" customHeight="1" x14ac:dyDescent="0.4">
      <c r="A443">
        <v>209</v>
      </c>
      <c r="B443" s="11">
        <v>1201</v>
      </c>
      <c r="C443" t="str">
        <f t="shared" si="27"/>
        <v>1호</v>
      </c>
      <c r="D443" t="str">
        <f t="shared" si="31"/>
        <v>12</v>
      </c>
      <c r="E443" t="str">
        <f t="shared" si="28"/>
        <v>2091호12</v>
      </c>
    </row>
    <row r="444" spans="1:5" ht="16.5" customHeight="1" x14ac:dyDescent="0.4">
      <c r="A444">
        <v>209</v>
      </c>
      <c r="B444" s="11">
        <v>1202</v>
      </c>
      <c r="C444" t="str">
        <f t="shared" si="27"/>
        <v>2호</v>
      </c>
      <c r="D444" t="str">
        <f t="shared" si="31"/>
        <v>12</v>
      </c>
      <c r="E444" t="str">
        <f t="shared" si="28"/>
        <v>2092호12</v>
      </c>
    </row>
    <row r="445" spans="1:5" ht="16.5" customHeight="1" x14ac:dyDescent="0.4">
      <c r="A445">
        <v>209</v>
      </c>
      <c r="B445" s="11">
        <v>1203</v>
      </c>
      <c r="C445" t="str">
        <f t="shared" si="27"/>
        <v>3호</v>
      </c>
      <c r="D445" t="str">
        <f t="shared" si="31"/>
        <v>12</v>
      </c>
      <c r="E445" t="str">
        <f t="shared" si="28"/>
        <v>2093호12</v>
      </c>
    </row>
    <row r="446" spans="1:5" ht="16.5" customHeight="1" x14ac:dyDescent="0.4">
      <c r="A446">
        <v>209</v>
      </c>
      <c r="B446" s="11">
        <v>1301</v>
      </c>
      <c r="C446" t="str">
        <f t="shared" si="27"/>
        <v>1호</v>
      </c>
      <c r="D446" t="str">
        <f t="shared" si="31"/>
        <v>13</v>
      </c>
      <c r="E446" t="str">
        <f t="shared" si="28"/>
        <v>2091호13</v>
      </c>
    </row>
    <row r="447" spans="1:5" ht="16.5" customHeight="1" x14ac:dyDescent="0.4">
      <c r="A447">
        <v>209</v>
      </c>
      <c r="B447" s="11">
        <v>1302</v>
      </c>
      <c r="C447" t="str">
        <f t="shared" si="27"/>
        <v>2호</v>
      </c>
      <c r="D447" t="str">
        <f t="shared" si="31"/>
        <v>13</v>
      </c>
      <c r="E447" t="str">
        <f t="shared" si="28"/>
        <v>2092호13</v>
      </c>
    </row>
    <row r="448" spans="1:5" ht="16.5" customHeight="1" x14ac:dyDescent="0.4">
      <c r="A448">
        <v>209</v>
      </c>
      <c r="B448" s="11">
        <v>1303</v>
      </c>
      <c r="C448" t="str">
        <f t="shared" si="27"/>
        <v>3호</v>
      </c>
      <c r="D448" t="str">
        <f t="shared" si="31"/>
        <v>13</v>
      </c>
      <c r="E448" t="str">
        <f t="shared" si="28"/>
        <v>2093호13</v>
      </c>
    </row>
    <row r="449" spans="1:5" ht="16.5" customHeight="1" x14ac:dyDescent="0.4">
      <c r="A449">
        <v>209</v>
      </c>
      <c r="B449" s="11">
        <v>1401</v>
      </c>
      <c r="C449" t="str">
        <f t="shared" si="27"/>
        <v>1호</v>
      </c>
      <c r="D449" t="str">
        <f t="shared" si="31"/>
        <v>14</v>
      </c>
      <c r="E449" t="str">
        <f t="shared" si="28"/>
        <v>2091호14</v>
      </c>
    </row>
    <row r="450" spans="1:5" ht="16.5" customHeight="1" x14ac:dyDescent="0.4">
      <c r="A450">
        <v>209</v>
      </c>
      <c r="B450" s="11">
        <v>1402</v>
      </c>
      <c r="C450" t="str">
        <f t="shared" si="27"/>
        <v>2호</v>
      </c>
      <c r="D450" t="str">
        <f t="shared" si="31"/>
        <v>14</v>
      </c>
      <c r="E450" t="str">
        <f t="shared" si="28"/>
        <v>2092호14</v>
      </c>
    </row>
    <row r="451" spans="1:5" x14ac:dyDescent="0.4">
      <c r="A451">
        <v>209</v>
      </c>
      <c r="B451" s="9">
        <v>1403</v>
      </c>
      <c r="C451" t="str">
        <f t="shared" si="27"/>
        <v>3호</v>
      </c>
      <c r="D451" t="str">
        <f t="shared" si="31"/>
        <v>14</v>
      </c>
      <c r="E451" t="str">
        <f t="shared" si="28"/>
        <v>2093호14</v>
      </c>
    </row>
    <row r="452" spans="1:5" x14ac:dyDescent="0.4">
      <c r="A452">
        <v>210</v>
      </c>
      <c r="B452" s="9">
        <v>101</v>
      </c>
      <c r="C452" t="str">
        <f t="shared" ref="C452:C515" si="32">RIGHT(B452,1)&amp;"호"</f>
        <v>1호</v>
      </c>
      <c r="D452" t="str">
        <f t="shared" ref="D452:D484" si="33">LEFT(B452,1)</f>
        <v>1</v>
      </c>
      <c r="E452" t="str">
        <f t="shared" ref="E452:E515" si="34">A452&amp;C452&amp;D452</f>
        <v>2101호1</v>
      </c>
    </row>
    <row r="453" spans="1:5" x14ac:dyDescent="0.4">
      <c r="A453">
        <v>210</v>
      </c>
      <c r="B453" s="9">
        <v>201</v>
      </c>
      <c r="C453" t="str">
        <f t="shared" si="32"/>
        <v>1호</v>
      </c>
      <c r="D453" t="str">
        <f t="shared" si="33"/>
        <v>2</v>
      </c>
      <c r="E453" t="str">
        <f t="shared" si="34"/>
        <v>2101호2</v>
      </c>
    </row>
    <row r="454" spans="1:5" x14ac:dyDescent="0.4">
      <c r="A454">
        <v>210</v>
      </c>
      <c r="B454" s="9">
        <v>202</v>
      </c>
      <c r="C454" t="str">
        <f t="shared" si="32"/>
        <v>2호</v>
      </c>
      <c r="D454" t="str">
        <f t="shared" si="33"/>
        <v>2</v>
      </c>
      <c r="E454" t="str">
        <f t="shared" si="34"/>
        <v>2102호2</v>
      </c>
    </row>
    <row r="455" spans="1:5" x14ac:dyDescent="0.4">
      <c r="A455">
        <v>210</v>
      </c>
      <c r="B455" s="9">
        <v>203</v>
      </c>
      <c r="C455" t="str">
        <f t="shared" si="32"/>
        <v>3호</v>
      </c>
      <c r="D455" t="str">
        <f t="shared" si="33"/>
        <v>2</v>
      </c>
      <c r="E455" t="str">
        <f t="shared" si="34"/>
        <v>2103호2</v>
      </c>
    </row>
    <row r="456" spans="1:5" x14ac:dyDescent="0.4">
      <c r="A456">
        <v>210</v>
      </c>
      <c r="B456" s="9">
        <v>204</v>
      </c>
      <c r="C456" t="str">
        <f t="shared" si="32"/>
        <v>4호</v>
      </c>
      <c r="D456" t="str">
        <f t="shared" si="33"/>
        <v>2</v>
      </c>
      <c r="E456" t="str">
        <f t="shared" si="34"/>
        <v>2104호2</v>
      </c>
    </row>
    <row r="457" spans="1:5" x14ac:dyDescent="0.4">
      <c r="A457">
        <v>210</v>
      </c>
      <c r="B457" s="9">
        <v>301</v>
      </c>
      <c r="C457" t="str">
        <f t="shared" si="32"/>
        <v>1호</v>
      </c>
      <c r="D457" t="str">
        <f t="shared" si="33"/>
        <v>3</v>
      </c>
      <c r="E457" t="str">
        <f t="shared" si="34"/>
        <v>2101호3</v>
      </c>
    </row>
    <row r="458" spans="1:5" x14ac:dyDescent="0.4">
      <c r="A458">
        <v>210</v>
      </c>
      <c r="B458" s="9">
        <v>302</v>
      </c>
      <c r="C458" t="str">
        <f t="shared" si="32"/>
        <v>2호</v>
      </c>
      <c r="D458" t="str">
        <f t="shared" si="33"/>
        <v>3</v>
      </c>
      <c r="E458" t="str">
        <f t="shared" si="34"/>
        <v>2102호3</v>
      </c>
    </row>
    <row r="459" spans="1:5" x14ac:dyDescent="0.4">
      <c r="A459">
        <v>210</v>
      </c>
      <c r="B459" s="9">
        <v>303</v>
      </c>
      <c r="C459" t="str">
        <f t="shared" si="32"/>
        <v>3호</v>
      </c>
      <c r="D459" t="str">
        <f t="shared" si="33"/>
        <v>3</v>
      </c>
      <c r="E459" t="str">
        <f t="shared" si="34"/>
        <v>2103호3</v>
      </c>
    </row>
    <row r="460" spans="1:5" x14ac:dyDescent="0.4">
      <c r="A460">
        <v>210</v>
      </c>
      <c r="B460" s="9">
        <v>304</v>
      </c>
      <c r="C460" t="str">
        <f t="shared" si="32"/>
        <v>4호</v>
      </c>
      <c r="D460" t="str">
        <f t="shared" si="33"/>
        <v>3</v>
      </c>
      <c r="E460" t="str">
        <f t="shared" si="34"/>
        <v>2104호3</v>
      </c>
    </row>
    <row r="461" spans="1:5" x14ac:dyDescent="0.4">
      <c r="A461">
        <v>210</v>
      </c>
      <c r="B461" s="9">
        <v>401</v>
      </c>
      <c r="C461" t="str">
        <f t="shared" si="32"/>
        <v>1호</v>
      </c>
      <c r="D461" t="str">
        <f t="shared" si="33"/>
        <v>4</v>
      </c>
      <c r="E461" t="str">
        <f t="shared" si="34"/>
        <v>2101호4</v>
      </c>
    </row>
    <row r="462" spans="1:5" x14ac:dyDescent="0.4">
      <c r="A462">
        <v>210</v>
      </c>
      <c r="B462" s="9">
        <v>402</v>
      </c>
      <c r="C462" t="str">
        <f t="shared" si="32"/>
        <v>2호</v>
      </c>
      <c r="D462" t="str">
        <f t="shared" si="33"/>
        <v>4</v>
      </c>
      <c r="E462" t="str">
        <f t="shared" si="34"/>
        <v>2102호4</v>
      </c>
    </row>
    <row r="463" spans="1:5" x14ac:dyDescent="0.4">
      <c r="A463">
        <v>210</v>
      </c>
      <c r="B463" s="9">
        <v>403</v>
      </c>
      <c r="C463" t="str">
        <f t="shared" si="32"/>
        <v>3호</v>
      </c>
      <c r="D463" t="str">
        <f t="shared" si="33"/>
        <v>4</v>
      </c>
      <c r="E463" t="str">
        <f t="shared" si="34"/>
        <v>2103호4</v>
      </c>
    </row>
    <row r="464" spans="1:5" x14ac:dyDescent="0.4">
      <c r="A464">
        <v>210</v>
      </c>
      <c r="B464" s="22">
        <v>404</v>
      </c>
      <c r="C464" t="str">
        <f t="shared" si="32"/>
        <v>4호</v>
      </c>
      <c r="D464" t="str">
        <f t="shared" si="33"/>
        <v>4</v>
      </c>
      <c r="E464" t="str">
        <f t="shared" si="34"/>
        <v>2104호4</v>
      </c>
    </row>
    <row r="465" spans="1:5" x14ac:dyDescent="0.4">
      <c r="A465">
        <v>210</v>
      </c>
      <c r="B465" s="11">
        <v>501</v>
      </c>
      <c r="C465" t="str">
        <f t="shared" si="32"/>
        <v>1호</v>
      </c>
      <c r="D465" t="str">
        <f t="shared" si="33"/>
        <v>5</v>
      </c>
      <c r="E465" t="str">
        <f t="shared" si="34"/>
        <v>2101호5</v>
      </c>
    </row>
    <row r="466" spans="1:5" x14ac:dyDescent="0.4">
      <c r="A466">
        <v>210</v>
      </c>
      <c r="B466" s="11">
        <v>502</v>
      </c>
      <c r="C466" t="str">
        <f t="shared" si="32"/>
        <v>2호</v>
      </c>
      <c r="D466" t="str">
        <f t="shared" si="33"/>
        <v>5</v>
      </c>
      <c r="E466" t="str">
        <f t="shared" si="34"/>
        <v>2102호5</v>
      </c>
    </row>
    <row r="467" spans="1:5" x14ac:dyDescent="0.4">
      <c r="A467">
        <v>210</v>
      </c>
      <c r="B467" s="11">
        <v>503</v>
      </c>
      <c r="C467" t="str">
        <f t="shared" si="32"/>
        <v>3호</v>
      </c>
      <c r="D467" t="str">
        <f t="shared" si="33"/>
        <v>5</v>
      </c>
      <c r="E467" t="str">
        <f t="shared" si="34"/>
        <v>2103호5</v>
      </c>
    </row>
    <row r="468" spans="1:5" x14ac:dyDescent="0.4">
      <c r="A468">
        <v>210</v>
      </c>
      <c r="B468" s="11">
        <v>504</v>
      </c>
      <c r="C468" t="str">
        <f t="shared" si="32"/>
        <v>4호</v>
      </c>
      <c r="D468" t="str">
        <f t="shared" si="33"/>
        <v>5</v>
      </c>
      <c r="E468" t="str">
        <f t="shared" si="34"/>
        <v>2104호5</v>
      </c>
    </row>
    <row r="469" spans="1:5" x14ac:dyDescent="0.4">
      <c r="A469">
        <v>210</v>
      </c>
      <c r="B469" s="11">
        <v>601</v>
      </c>
      <c r="C469" t="str">
        <f t="shared" si="32"/>
        <v>1호</v>
      </c>
      <c r="D469" t="str">
        <f t="shared" si="33"/>
        <v>6</v>
      </c>
      <c r="E469" t="str">
        <f t="shared" si="34"/>
        <v>2101호6</v>
      </c>
    </row>
    <row r="470" spans="1:5" x14ac:dyDescent="0.4">
      <c r="A470">
        <v>210</v>
      </c>
      <c r="B470" s="11">
        <v>602</v>
      </c>
      <c r="C470" t="str">
        <f t="shared" si="32"/>
        <v>2호</v>
      </c>
      <c r="D470" t="str">
        <f t="shared" si="33"/>
        <v>6</v>
      </c>
      <c r="E470" t="str">
        <f t="shared" si="34"/>
        <v>2102호6</v>
      </c>
    </row>
    <row r="471" spans="1:5" x14ac:dyDescent="0.4">
      <c r="A471">
        <v>210</v>
      </c>
      <c r="B471" s="11">
        <v>603</v>
      </c>
      <c r="C471" t="str">
        <f t="shared" si="32"/>
        <v>3호</v>
      </c>
      <c r="D471" t="str">
        <f t="shared" si="33"/>
        <v>6</v>
      </c>
      <c r="E471" t="str">
        <f t="shared" si="34"/>
        <v>2103호6</v>
      </c>
    </row>
    <row r="472" spans="1:5" x14ac:dyDescent="0.4">
      <c r="A472">
        <v>210</v>
      </c>
      <c r="B472" s="11">
        <v>604</v>
      </c>
      <c r="C472" t="str">
        <f t="shared" si="32"/>
        <v>4호</v>
      </c>
      <c r="D472" t="str">
        <f t="shared" si="33"/>
        <v>6</v>
      </c>
      <c r="E472" t="str">
        <f t="shared" si="34"/>
        <v>2104호6</v>
      </c>
    </row>
    <row r="473" spans="1:5" x14ac:dyDescent="0.4">
      <c r="A473">
        <v>210</v>
      </c>
      <c r="B473" s="11">
        <v>701</v>
      </c>
      <c r="C473" t="str">
        <f t="shared" si="32"/>
        <v>1호</v>
      </c>
      <c r="D473" t="str">
        <f t="shared" si="33"/>
        <v>7</v>
      </c>
      <c r="E473" t="str">
        <f t="shared" si="34"/>
        <v>2101호7</v>
      </c>
    </row>
    <row r="474" spans="1:5" x14ac:dyDescent="0.4">
      <c r="A474">
        <v>210</v>
      </c>
      <c r="B474" s="11">
        <v>702</v>
      </c>
      <c r="C474" t="str">
        <f t="shared" si="32"/>
        <v>2호</v>
      </c>
      <c r="D474" t="str">
        <f t="shared" si="33"/>
        <v>7</v>
      </c>
      <c r="E474" t="str">
        <f t="shared" si="34"/>
        <v>2102호7</v>
      </c>
    </row>
    <row r="475" spans="1:5" x14ac:dyDescent="0.4">
      <c r="A475">
        <v>210</v>
      </c>
      <c r="B475" s="11">
        <v>703</v>
      </c>
      <c r="C475" t="str">
        <f t="shared" si="32"/>
        <v>3호</v>
      </c>
      <c r="D475" t="str">
        <f t="shared" si="33"/>
        <v>7</v>
      </c>
      <c r="E475" t="str">
        <f t="shared" si="34"/>
        <v>2103호7</v>
      </c>
    </row>
    <row r="476" spans="1:5" x14ac:dyDescent="0.4">
      <c r="A476">
        <v>210</v>
      </c>
      <c r="B476" s="11">
        <v>704</v>
      </c>
      <c r="C476" t="str">
        <f t="shared" si="32"/>
        <v>4호</v>
      </c>
      <c r="D476" t="str">
        <f t="shared" si="33"/>
        <v>7</v>
      </c>
      <c r="E476" t="str">
        <f t="shared" si="34"/>
        <v>2104호7</v>
      </c>
    </row>
    <row r="477" spans="1:5" x14ac:dyDescent="0.4">
      <c r="A477">
        <v>210</v>
      </c>
      <c r="B477" s="11">
        <v>801</v>
      </c>
      <c r="C477" t="str">
        <f t="shared" si="32"/>
        <v>1호</v>
      </c>
      <c r="D477" t="str">
        <f t="shared" si="33"/>
        <v>8</v>
      </c>
      <c r="E477" t="str">
        <f t="shared" si="34"/>
        <v>2101호8</v>
      </c>
    </row>
    <row r="478" spans="1:5" x14ac:dyDescent="0.4">
      <c r="A478">
        <v>210</v>
      </c>
      <c r="B478" s="11">
        <v>802</v>
      </c>
      <c r="C478" t="str">
        <f t="shared" si="32"/>
        <v>2호</v>
      </c>
      <c r="D478" t="str">
        <f t="shared" si="33"/>
        <v>8</v>
      </c>
      <c r="E478" t="str">
        <f t="shared" si="34"/>
        <v>2102호8</v>
      </c>
    </row>
    <row r="479" spans="1:5" x14ac:dyDescent="0.4">
      <c r="A479">
        <v>210</v>
      </c>
      <c r="B479" s="11">
        <v>803</v>
      </c>
      <c r="C479" t="str">
        <f t="shared" si="32"/>
        <v>3호</v>
      </c>
      <c r="D479" t="str">
        <f t="shared" si="33"/>
        <v>8</v>
      </c>
      <c r="E479" t="str">
        <f t="shared" si="34"/>
        <v>2103호8</v>
      </c>
    </row>
    <row r="480" spans="1:5" x14ac:dyDescent="0.4">
      <c r="A480">
        <v>210</v>
      </c>
      <c r="B480" s="11">
        <v>804</v>
      </c>
      <c r="C480" t="str">
        <f t="shared" si="32"/>
        <v>4호</v>
      </c>
      <c r="D480" t="str">
        <f t="shared" si="33"/>
        <v>8</v>
      </c>
      <c r="E480" t="str">
        <f t="shared" si="34"/>
        <v>2104호8</v>
      </c>
    </row>
    <row r="481" spans="1:5" x14ac:dyDescent="0.4">
      <c r="A481">
        <v>210</v>
      </c>
      <c r="B481" s="11">
        <v>901</v>
      </c>
      <c r="C481" t="str">
        <f t="shared" si="32"/>
        <v>1호</v>
      </c>
      <c r="D481" t="str">
        <f t="shared" si="33"/>
        <v>9</v>
      </c>
      <c r="E481" t="str">
        <f t="shared" si="34"/>
        <v>2101호9</v>
      </c>
    </row>
    <row r="482" spans="1:5" x14ac:dyDescent="0.4">
      <c r="A482">
        <v>210</v>
      </c>
      <c r="B482" s="11">
        <v>902</v>
      </c>
      <c r="C482" t="str">
        <f t="shared" si="32"/>
        <v>2호</v>
      </c>
      <c r="D482" t="str">
        <f t="shared" si="33"/>
        <v>9</v>
      </c>
      <c r="E482" t="str">
        <f t="shared" si="34"/>
        <v>2102호9</v>
      </c>
    </row>
    <row r="483" spans="1:5" x14ac:dyDescent="0.4">
      <c r="A483">
        <v>210</v>
      </c>
      <c r="B483" s="11">
        <v>903</v>
      </c>
      <c r="C483" t="str">
        <f t="shared" si="32"/>
        <v>3호</v>
      </c>
      <c r="D483" t="str">
        <f t="shared" si="33"/>
        <v>9</v>
      </c>
      <c r="E483" t="str">
        <f t="shared" si="34"/>
        <v>2103호9</v>
      </c>
    </row>
    <row r="484" spans="1:5" x14ac:dyDescent="0.4">
      <c r="A484">
        <v>210</v>
      </c>
      <c r="B484" s="11">
        <v>904</v>
      </c>
      <c r="C484" t="str">
        <f t="shared" si="32"/>
        <v>4호</v>
      </c>
      <c r="D484" t="str">
        <f t="shared" si="33"/>
        <v>9</v>
      </c>
      <c r="E484" t="str">
        <f t="shared" si="34"/>
        <v>2104호9</v>
      </c>
    </row>
    <row r="485" spans="1:5" x14ac:dyDescent="0.4">
      <c r="A485">
        <v>210</v>
      </c>
      <c r="B485" s="11">
        <v>1001</v>
      </c>
      <c r="C485" t="str">
        <f t="shared" si="32"/>
        <v>1호</v>
      </c>
      <c r="D485" t="str">
        <f t="shared" ref="D485:D502" si="35">LEFT(B485,2)</f>
        <v>10</v>
      </c>
      <c r="E485" t="str">
        <f t="shared" si="34"/>
        <v>2101호10</v>
      </c>
    </row>
    <row r="486" spans="1:5" x14ac:dyDescent="0.4">
      <c r="A486">
        <v>210</v>
      </c>
      <c r="B486" s="11">
        <v>1002</v>
      </c>
      <c r="C486" t="str">
        <f t="shared" si="32"/>
        <v>2호</v>
      </c>
      <c r="D486" t="str">
        <f t="shared" si="35"/>
        <v>10</v>
      </c>
      <c r="E486" t="str">
        <f t="shared" si="34"/>
        <v>2102호10</v>
      </c>
    </row>
    <row r="487" spans="1:5" x14ac:dyDescent="0.4">
      <c r="A487">
        <v>210</v>
      </c>
      <c r="B487" s="11">
        <v>1003</v>
      </c>
      <c r="C487" t="str">
        <f t="shared" si="32"/>
        <v>3호</v>
      </c>
      <c r="D487" t="str">
        <f t="shared" si="35"/>
        <v>10</v>
      </c>
      <c r="E487" t="str">
        <f t="shared" si="34"/>
        <v>2103호10</v>
      </c>
    </row>
    <row r="488" spans="1:5" x14ac:dyDescent="0.4">
      <c r="A488">
        <v>210</v>
      </c>
      <c r="B488" s="11">
        <v>1004</v>
      </c>
      <c r="C488" t="str">
        <f t="shared" si="32"/>
        <v>4호</v>
      </c>
      <c r="D488" t="str">
        <f t="shared" si="35"/>
        <v>10</v>
      </c>
      <c r="E488" t="str">
        <f t="shared" si="34"/>
        <v>2104호10</v>
      </c>
    </row>
    <row r="489" spans="1:5" x14ac:dyDescent="0.4">
      <c r="A489">
        <v>210</v>
      </c>
      <c r="B489" s="11">
        <v>1101</v>
      </c>
      <c r="C489" t="str">
        <f t="shared" si="32"/>
        <v>1호</v>
      </c>
      <c r="D489" t="str">
        <f t="shared" si="35"/>
        <v>11</v>
      </c>
      <c r="E489" t="str">
        <f t="shared" si="34"/>
        <v>2101호11</v>
      </c>
    </row>
    <row r="490" spans="1:5" x14ac:dyDescent="0.4">
      <c r="A490">
        <v>210</v>
      </c>
      <c r="B490" s="11">
        <v>1102</v>
      </c>
      <c r="C490" t="str">
        <f t="shared" si="32"/>
        <v>2호</v>
      </c>
      <c r="D490" t="str">
        <f t="shared" si="35"/>
        <v>11</v>
      </c>
      <c r="E490" t="str">
        <f t="shared" si="34"/>
        <v>2102호11</v>
      </c>
    </row>
    <row r="491" spans="1:5" x14ac:dyDescent="0.4">
      <c r="A491">
        <v>210</v>
      </c>
      <c r="B491" s="11">
        <v>1103</v>
      </c>
      <c r="C491" t="str">
        <f t="shared" si="32"/>
        <v>3호</v>
      </c>
      <c r="D491" t="str">
        <f t="shared" si="35"/>
        <v>11</v>
      </c>
      <c r="E491" t="str">
        <f t="shared" si="34"/>
        <v>2103호11</v>
      </c>
    </row>
    <row r="492" spans="1:5" x14ac:dyDescent="0.4">
      <c r="A492">
        <v>210</v>
      </c>
      <c r="B492" s="11">
        <v>1104</v>
      </c>
      <c r="C492" t="str">
        <f t="shared" si="32"/>
        <v>4호</v>
      </c>
      <c r="D492" t="str">
        <f t="shared" si="35"/>
        <v>11</v>
      </c>
      <c r="E492" t="str">
        <f t="shared" si="34"/>
        <v>2104호11</v>
      </c>
    </row>
    <row r="493" spans="1:5" x14ac:dyDescent="0.4">
      <c r="A493">
        <v>210</v>
      </c>
      <c r="B493" s="11">
        <v>1201</v>
      </c>
      <c r="C493" t="str">
        <f t="shared" si="32"/>
        <v>1호</v>
      </c>
      <c r="D493" t="str">
        <f t="shared" si="35"/>
        <v>12</v>
      </c>
      <c r="E493" t="str">
        <f t="shared" si="34"/>
        <v>2101호12</v>
      </c>
    </row>
    <row r="494" spans="1:5" x14ac:dyDescent="0.4">
      <c r="A494">
        <v>210</v>
      </c>
      <c r="B494" s="11">
        <v>1202</v>
      </c>
      <c r="C494" t="str">
        <f t="shared" si="32"/>
        <v>2호</v>
      </c>
      <c r="D494" t="str">
        <f t="shared" si="35"/>
        <v>12</v>
      </c>
      <c r="E494" t="str">
        <f t="shared" si="34"/>
        <v>2102호12</v>
      </c>
    </row>
    <row r="495" spans="1:5" x14ac:dyDescent="0.4">
      <c r="A495">
        <v>210</v>
      </c>
      <c r="B495" s="11">
        <v>1203</v>
      </c>
      <c r="C495" t="str">
        <f t="shared" si="32"/>
        <v>3호</v>
      </c>
      <c r="D495" t="str">
        <f t="shared" si="35"/>
        <v>12</v>
      </c>
      <c r="E495" t="str">
        <f t="shared" si="34"/>
        <v>2103호12</v>
      </c>
    </row>
    <row r="496" spans="1:5" x14ac:dyDescent="0.4">
      <c r="A496">
        <v>210</v>
      </c>
      <c r="B496" s="11">
        <v>1204</v>
      </c>
      <c r="C496" t="str">
        <f t="shared" si="32"/>
        <v>4호</v>
      </c>
      <c r="D496" t="str">
        <f t="shared" si="35"/>
        <v>12</v>
      </c>
      <c r="E496" t="str">
        <f t="shared" si="34"/>
        <v>2104호12</v>
      </c>
    </row>
    <row r="497" spans="1:5" x14ac:dyDescent="0.4">
      <c r="A497">
        <v>210</v>
      </c>
      <c r="B497" s="11">
        <v>1301</v>
      </c>
      <c r="C497" t="str">
        <f t="shared" si="32"/>
        <v>1호</v>
      </c>
      <c r="D497" t="str">
        <f t="shared" si="35"/>
        <v>13</v>
      </c>
      <c r="E497" t="str">
        <f t="shared" si="34"/>
        <v>2101호13</v>
      </c>
    </row>
    <row r="498" spans="1:5" x14ac:dyDescent="0.4">
      <c r="A498">
        <v>210</v>
      </c>
      <c r="B498" s="11">
        <v>1303</v>
      </c>
      <c r="C498" t="str">
        <f t="shared" si="32"/>
        <v>3호</v>
      </c>
      <c r="D498" t="str">
        <f t="shared" si="35"/>
        <v>13</v>
      </c>
      <c r="E498" t="str">
        <f t="shared" si="34"/>
        <v>2103호13</v>
      </c>
    </row>
    <row r="499" spans="1:5" x14ac:dyDescent="0.4">
      <c r="A499">
        <v>210</v>
      </c>
      <c r="B499" s="11">
        <v>1304</v>
      </c>
      <c r="C499" t="str">
        <f t="shared" si="32"/>
        <v>4호</v>
      </c>
      <c r="D499" t="str">
        <f t="shared" si="35"/>
        <v>13</v>
      </c>
      <c r="E499" t="str">
        <f t="shared" si="34"/>
        <v>2104호13</v>
      </c>
    </row>
    <row r="500" spans="1:5" x14ac:dyDescent="0.4">
      <c r="A500">
        <v>210</v>
      </c>
      <c r="B500" s="11">
        <v>1401</v>
      </c>
      <c r="C500" t="str">
        <f t="shared" si="32"/>
        <v>1호</v>
      </c>
      <c r="D500" t="str">
        <f t="shared" si="35"/>
        <v>14</v>
      </c>
      <c r="E500" t="str">
        <f t="shared" si="34"/>
        <v>2101호14</v>
      </c>
    </row>
    <row r="501" spans="1:5" x14ac:dyDescent="0.4">
      <c r="A501">
        <v>210</v>
      </c>
      <c r="B501" s="11">
        <v>1403</v>
      </c>
      <c r="C501" t="str">
        <f t="shared" si="32"/>
        <v>3호</v>
      </c>
      <c r="D501" t="str">
        <f t="shared" si="35"/>
        <v>14</v>
      </c>
      <c r="E501" t="str">
        <f t="shared" si="34"/>
        <v>2103호14</v>
      </c>
    </row>
    <row r="502" spans="1:5" ht="16.5" customHeight="1" x14ac:dyDescent="0.4">
      <c r="A502">
        <v>210</v>
      </c>
      <c r="B502" s="9">
        <v>1404</v>
      </c>
      <c r="C502" t="str">
        <f t="shared" si="32"/>
        <v>4호</v>
      </c>
      <c r="D502" t="str">
        <f t="shared" si="35"/>
        <v>14</v>
      </c>
      <c r="E502" t="str">
        <f t="shared" si="34"/>
        <v>2104호14</v>
      </c>
    </row>
    <row r="503" spans="1:5" ht="16.5" customHeight="1" x14ac:dyDescent="0.4">
      <c r="A503">
        <v>211</v>
      </c>
      <c r="B503" s="9">
        <v>101</v>
      </c>
      <c r="C503" t="str">
        <f t="shared" si="32"/>
        <v>1호</v>
      </c>
      <c r="D503" t="str">
        <f t="shared" ref="D503:D535" si="36">LEFT(B503,1)</f>
        <v>1</v>
      </c>
      <c r="E503" t="str">
        <f t="shared" si="34"/>
        <v>2111호1</v>
      </c>
    </row>
    <row r="504" spans="1:5" ht="16.5" customHeight="1" x14ac:dyDescent="0.4">
      <c r="A504">
        <v>211</v>
      </c>
      <c r="B504" s="9">
        <v>201</v>
      </c>
      <c r="C504" t="str">
        <f t="shared" si="32"/>
        <v>1호</v>
      </c>
      <c r="D504" t="str">
        <f t="shared" si="36"/>
        <v>2</v>
      </c>
      <c r="E504" t="str">
        <f t="shared" si="34"/>
        <v>2111호2</v>
      </c>
    </row>
    <row r="505" spans="1:5" ht="16.5" customHeight="1" x14ac:dyDescent="0.4">
      <c r="A505">
        <v>211</v>
      </c>
      <c r="B505" s="9">
        <v>202</v>
      </c>
      <c r="C505" t="str">
        <f t="shared" si="32"/>
        <v>2호</v>
      </c>
      <c r="D505" t="str">
        <f t="shared" si="36"/>
        <v>2</v>
      </c>
      <c r="E505" t="str">
        <f t="shared" si="34"/>
        <v>2112호2</v>
      </c>
    </row>
    <row r="506" spans="1:5" ht="16.5" customHeight="1" x14ac:dyDescent="0.4">
      <c r="A506">
        <v>211</v>
      </c>
      <c r="B506" s="9">
        <v>203</v>
      </c>
      <c r="C506" t="str">
        <f t="shared" si="32"/>
        <v>3호</v>
      </c>
      <c r="D506" t="str">
        <f t="shared" si="36"/>
        <v>2</v>
      </c>
      <c r="E506" t="str">
        <f t="shared" si="34"/>
        <v>2113호2</v>
      </c>
    </row>
    <row r="507" spans="1:5" ht="16.5" customHeight="1" x14ac:dyDescent="0.4">
      <c r="A507">
        <v>211</v>
      </c>
      <c r="B507" s="9">
        <v>204</v>
      </c>
      <c r="C507" t="str">
        <f t="shared" si="32"/>
        <v>4호</v>
      </c>
      <c r="D507" t="str">
        <f t="shared" si="36"/>
        <v>2</v>
      </c>
      <c r="E507" t="str">
        <f t="shared" si="34"/>
        <v>2114호2</v>
      </c>
    </row>
    <row r="508" spans="1:5" ht="16.5" customHeight="1" x14ac:dyDescent="0.4">
      <c r="A508">
        <v>211</v>
      </c>
      <c r="B508" s="9">
        <v>301</v>
      </c>
      <c r="C508" t="str">
        <f t="shared" si="32"/>
        <v>1호</v>
      </c>
      <c r="D508" t="str">
        <f t="shared" si="36"/>
        <v>3</v>
      </c>
      <c r="E508" t="str">
        <f t="shared" si="34"/>
        <v>2111호3</v>
      </c>
    </row>
    <row r="509" spans="1:5" ht="16.5" customHeight="1" x14ac:dyDescent="0.4">
      <c r="A509">
        <v>211</v>
      </c>
      <c r="B509" s="9">
        <v>302</v>
      </c>
      <c r="C509" t="str">
        <f t="shared" si="32"/>
        <v>2호</v>
      </c>
      <c r="D509" t="str">
        <f t="shared" si="36"/>
        <v>3</v>
      </c>
      <c r="E509" t="str">
        <f t="shared" si="34"/>
        <v>2112호3</v>
      </c>
    </row>
    <row r="510" spans="1:5" ht="16.5" customHeight="1" x14ac:dyDescent="0.4">
      <c r="A510">
        <v>211</v>
      </c>
      <c r="B510" s="9">
        <v>303</v>
      </c>
      <c r="C510" t="str">
        <f t="shared" si="32"/>
        <v>3호</v>
      </c>
      <c r="D510" t="str">
        <f t="shared" si="36"/>
        <v>3</v>
      </c>
      <c r="E510" t="str">
        <f t="shared" si="34"/>
        <v>2113호3</v>
      </c>
    </row>
    <row r="511" spans="1:5" ht="16.5" customHeight="1" x14ac:dyDescent="0.4">
      <c r="A511">
        <v>211</v>
      </c>
      <c r="B511" s="22">
        <v>304</v>
      </c>
      <c r="C511" t="str">
        <f t="shared" si="32"/>
        <v>4호</v>
      </c>
      <c r="D511" t="str">
        <f t="shared" si="36"/>
        <v>3</v>
      </c>
      <c r="E511" t="str">
        <f t="shared" si="34"/>
        <v>2114호3</v>
      </c>
    </row>
    <row r="512" spans="1:5" ht="16.5" customHeight="1" x14ac:dyDescent="0.4">
      <c r="A512">
        <v>211</v>
      </c>
      <c r="B512" s="11">
        <v>401</v>
      </c>
      <c r="C512" t="str">
        <f t="shared" si="32"/>
        <v>1호</v>
      </c>
      <c r="D512" t="str">
        <f t="shared" si="36"/>
        <v>4</v>
      </c>
      <c r="E512" t="str">
        <f t="shared" si="34"/>
        <v>2111호4</v>
      </c>
    </row>
    <row r="513" spans="1:5" ht="16.5" customHeight="1" x14ac:dyDescent="0.4">
      <c r="A513">
        <v>211</v>
      </c>
      <c r="B513" s="11">
        <v>402</v>
      </c>
      <c r="C513" t="str">
        <f t="shared" si="32"/>
        <v>2호</v>
      </c>
      <c r="D513" t="str">
        <f t="shared" si="36"/>
        <v>4</v>
      </c>
      <c r="E513" t="str">
        <f t="shared" si="34"/>
        <v>2112호4</v>
      </c>
    </row>
    <row r="514" spans="1:5" ht="16.5" customHeight="1" x14ac:dyDescent="0.4">
      <c r="A514">
        <v>211</v>
      </c>
      <c r="B514" s="11">
        <v>403</v>
      </c>
      <c r="C514" t="str">
        <f t="shared" si="32"/>
        <v>3호</v>
      </c>
      <c r="D514" t="str">
        <f t="shared" si="36"/>
        <v>4</v>
      </c>
      <c r="E514" t="str">
        <f t="shared" si="34"/>
        <v>2113호4</v>
      </c>
    </row>
    <row r="515" spans="1:5" ht="16.5" customHeight="1" x14ac:dyDescent="0.4">
      <c r="A515">
        <v>211</v>
      </c>
      <c r="B515" s="11">
        <v>404</v>
      </c>
      <c r="C515" t="str">
        <f t="shared" si="32"/>
        <v>4호</v>
      </c>
      <c r="D515" t="str">
        <f t="shared" si="36"/>
        <v>4</v>
      </c>
      <c r="E515" t="str">
        <f t="shared" si="34"/>
        <v>2114호4</v>
      </c>
    </row>
    <row r="516" spans="1:5" ht="16.5" customHeight="1" x14ac:dyDescent="0.4">
      <c r="A516">
        <v>211</v>
      </c>
      <c r="B516" s="11">
        <v>501</v>
      </c>
      <c r="C516" t="str">
        <f t="shared" ref="C516:C579" si="37">RIGHT(B516,1)&amp;"호"</f>
        <v>1호</v>
      </c>
      <c r="D516" t="str">
        <f t="shared" si="36"/>
        <v>5</v>
      </c>
      <c r="E516" t="str">
        <f t="shared" ref="E516:E579" si="38">A516&amp;C516&amp;D516</f>
        <v>2111호5</v>
      </c>
    </row>
    <row r="517" spans="1:5" ht="16.5" customHeight="1" x14ac:dyDescent="0.4">
      <c r="A517">
        <v>211</v>
      </c>
      <c r="B517" s="11">
        <v>502</v>
      </c>
      <c r="C517" t="str">
        <f t="shared" si="37"/>
        <v>2호</v>
      </c>
      <c r="D517" t="str">
        <f t="shared" si="36"/>
        <v>5</v>
      </c>
      <c r="E517" t="str">
        <f t="shared" si="38"/>
        <v>2112호5</v>
      </c>
    </row>
    <row r="518" spans="1:5" ht="16.5" customHeight="1" x14ac:dyDescent="0.4">
      <c r="A518">
        <v>211</v>
      </c>
      <c r="B518" s="11">
        <v>503</v>
      </c>
      <c r="C518" t="str">
        <f t="shared" si="37"/>
        <v>3호</v>
      </c>
      <c r="D518" t="str">
        <f t="shared" si="36"/>
        <v>5</v>
      </c>
      <c r="E518" t="str">
        <f t="shared" si="38"/>
        <v>2113호5</v>
      </c>
    </row>
    <row r="519" spans="1:5" ht="16.5" customHeight="1" x14ac:dyDescent="0.4">
      <c r="A519">
        <v>211</v>
      </c>
      <c r="B519" s="11">
        <v>504</v>
      </c>
      <c r="C519" t="str">
        <f t="shared" si="37"/>
        <v>4호</v>
      </c>
      <c r="D519" t="str">
        <f t="shared" si="36"/>
        <v>5</v>
      </c>
      <c r="E519" t="str">
        <f t="shared" si="38"/>
        <v>2114호5</v>
      </c>
    </row>
    <row r="520" spans="1:5" ht="16.5" customHeight="1" x14ac:dyDescent="0.4">
      <c r="A520">
        <v>211</v>
      </c>
      <c r="B520" s="11">
        <v>601</v>
      </c>
      <c r="C520" t="str">
        <f t="shared" si="37"/>
        <v>1호</v>
      </c>
      <c r="D520" t="str">
        <f t="shared" si="36"/>
        <v>6</v>
      </c>
      <c r="E520" t="str">
        <f t="shared" si="38"/>
        <v>2111호6</v>
      </c>
    </row>
    <row r="521" spans="1:5" ht="16.5" customHeight="1" x14ac:dyDescent="0.4">
      <c r="A521">
        <v>211</v>
      </c>
      <c r="B521" s="11">
        <v>602</v>
      </c>
      <c r="C521" t="str">
        <f t="shared" si="37"/>
        <v>2호</v>
      </c>
      <c r="D521" t="str">
        <f t="shared" si="36"/>
        <v>6</v>
      </c>
      <c r="E521" t="str">
        <f t="shared" si="38"/>
        <v>2112호6</v>
      </c>
    </row>
    <row r="522" spans="1:5" ht="16.5" customHeight="1" x14ac:dyDescent="0.4">
      <c r="A522">
        <v>211</v>
      </c>
      <c r="B522" s="11">
        <v>603</v>
      </c>
      <c r="C522" t="str">
        <f t="shared" si="37"/>
        <v>3호</v>
      </c>
      <c r="D522" t="str">
        <f t="shared" si="36"/>
        <v>6</v>
      </c>
      <c r="E522" t="str">
        <f t="shared" si="38"/>
        <v>2113호6</v>
      </c>
    </row>
    <row r="523" spans="1:5" ht="16.5" customHeight="1" x14ac:dyDescent="0.4">
      <c r="A523">
        <v>211</v>
      </c>
      <c r="B523" s="11">
        <v>604</v>
      </c>
      <c r="C523" t="str">
        <f t="shared" si="37"/>
        <v>4호</v>
      </c>
      <c r="D523" t="str">
        <f t="shared" si="36"/>
        <v>6</v>
      </c>
      <c r="E523" t="str">
        <f t="shared" si="38"/>
        <v>2114호6</v>
      </c>
    </row>
    <row r="524" spans="1:5" ht="16.5" customHeight="1" x14ac:dyDescent="0.4">
      <c r="A524">
        <v>211</v>
      </c>
      <c r="B524" s="11">
        <v>701</v>
      </c>
      <c r="C524" t="str">
        <f t="shared" si="37"/>
        <v>1호</v>
      </c>
      <c r="D524" t="str">
        <f t="shared" si="36"/>
        <v>7</v>
      </c>
      <c r="E524" t="str">
        <f t="shared" si="38"/>
        <v>2111호7</v>
      </c>
    </row>
    <row r="525" spans="1:5" ht="16.5" customHeight="1" x14ac:dyDescent="0.4">
      <c r="A525">
        <v>211</v>
      </c>
      <c r="B525" s="11">
        <v>702</v>
      </c>
      <c r="C525" t="str">
        <f t="shared" si="37"/>
        <v>2호</v>
      </c>
      <c r="D525" t="str">
        <f t="shared" si="36"/>
        <v>7</v>
      </c>
      <c r="E525" t="str">
        <f t="shared" si="38"/>
        <v>2112호7</v>
      </c>
    </row>
    <row r="526" spans="1:5" ht="16.5" customHeight="1" x14ac:dyDescent="0.4">
      <c r="A526">
        <v>211</v>
      </c>
      <c r="B526" s="11">
        <v>703</v>
      </c>
      <c r="C526" t="str">
        <f t="shared" si="37"/>
        <v>3호</v>
      </c>
      <c r="D526" t="str">
        <f t="shared" si="36"/>
        <v>7</v>
      </c>
      <c r="E526" t="str">
        <f t="shared" si="38"/>
        <v>2113호7</v>
      </c>
    </row>
    <row r="527" spans="1:5" ht="16.5" customHeight="1" x14ac:dyDescent="0.4">
      <c r="A527">
        <v>211</v>
      </c>
      <c r="B527" s="11">
        <v>704</v>
      </c>
      <c r="C527" t="str">
        <f t="shared" si="37"/>
        <v>4호</v>
      </c>
      <c r="D527" t="str">
        <f t="shared" si="36"/>
        <v>7</v>
      </c>
      <c r="E527" t="str">
        <f t="shared" si="38"/>
        <v>2114호7</v>
      </c>
    </row>
    <row r="528" spans="1:5" ht="16.5" customHeight="1" x14ac:dyDescent="0.4">
      <c r="A528">
        <v>211</v>
      </c>
      <c r="B528" s="11">
        <v>801</v>
      </c>
      <c r="C528" t="str">
        <f t="shared" si="37"/>
        <v>1호</v>
      </c>
      <c r="D528" t="str">
        <f t="shared" si="36"/>
        <v>8</v>
      </c>
      <c r="E528" t="str">
        <f t="shared" si="38"/>
        <v>2111호8</v>
      </c>
    </row>
    <row r="529" spans="1:5" ht="16.5" customHeight="1" x14ac:dyDescent="0.4">
      <c r="A529">
        <v>211</v>
      </c>
      <c r="B529" s="11">
        <v>802</v>
      </c>
      <c r="C529" t="str">
        <f t="shared" si="37"/>
        <v>2호</v>
      </c>
      <c r="D529" t="str">
        <f t="shared" si="36"/>
        <v>8</v>
      </c>
      <c r="E529" t="str">
        <f t="shared" si="38"/>
        <v>2112호8</v>
      </c>
    </row>
    <row r="530" spans="1:5" ht="16.5" customHeight="1" x14ac:dyDescent="0.4">
      <c r="A530">
        <v>211</v>
      </c>
      <c r="B530" s="11">
        <v>803</v>
      </c>
      <c r="C530" t="str">
        <f t="shared" si="37"/>
        <v>3호</v>
      </c>
      <c r="D530" t="str">
        <f t="shared" si="36"/>
        <v>8</v>
      </c>
      <c r="E530" t="str">
        <f t="shared" si="38"/>
        <v>2113호8</v>
      </c>
    </row>
    <row r="531" spans="1:5" ht="16.5" customHeight="1" x14ac:dyDescent="0.4">
      <c r="A531">
        <v>211</v>
      </c>
      <c r="B531" s="11">
        <v>804</v>
      </c>
      <c r="C531" t="str">
        <f t="shared" si="37"/>
        <v>4호</v>
      </c>
      <c r="D531" t="str">
        <f t="shared" si="36"/>
        <v>8</v>
      </c>
      <c r="E531" t="str">
        <f t="shared" si="38"/>
        <v>2114호8</v>
      </c>
    </row>
    <row r="532" spans="1:5" ht="16.5" customHeight="1" x14ac:dyDescent="0.4">
      <c r="A532">
        <v>211</v>
      </c>
      <c r="B532" s="11">
        <v>901</v>
      </c>
      <c r="C532" t="str">
        <f t="shared" si="37"/>
        <v>1호</v>
      </c>
      <c r="D532" t="str">
        <f t="shared" si="36"/>
        <v>9</v>
      </c>
      <c r="E532" t="str">
        <f t="shared" si="38"/>
        <v>2111호9</v>
      </c>
    </row>
    <row r="533" spans="1:5" ht="16.5" customHeight="1" x14ac:dyDescent="0.4">
      <c r="A533">
        <v>211</v>
      </c>
      <c r="B533" s="11">
        <v>902</v>
      </c>
      <c r="C533" t="str">
        <f t="shared" si="37"/>
        <v>2호</v>
      </c>
      <c r="D533" t="str">
        <f t="shared" si="36"/>
        <v>9</v>
      </c>
      <c r="E533" t="str">
        <f t="shared" si="38"/>
        <v>2112호9</v>
      </c>
    </row>
    <row r="534" spans="1:5" ht="16.5" customHeight="1" x14ac:dyDescent="0.4">
      <c r="A534">
        <v>211</v>
      </c>
      <c r="B534" s="11">
        <v>903</v>
      </c>
      <c r="C534" t="str">
        <f t="shared" si="37"/>
        <v>3호</v>
      </c>
      <c r="D534" t="str">
        <f t="shared" si="36"/>
        <v>9</v>
      </c>
      <c r="E534" t="str">
        <f t="shared" si="38"/>
        <v>2113호9</v>
      </c>
    </row>
    <row r="535" spans="1:5" ht="16.5" customHeight="1" x14ac:dyDescent="0.4">
      <c r="A535">
        <v>211</v>
      </c>
      <c r="B535" s="11">
        <v>904</v>
      </c>
      <c r="C535" t="str">
        <f t="shared" si="37"/>
        <v>4호</v>
      </c>
      <c r="D535" t="str">
        <f t="shared" si="36"/>
        <v>9</v>
      </c>
      <c r="E535" t="str">
        <f t="shared" si="38"/>
        <v>2114호9</v>
      </c>
    </row>
    <row r="536" spans="1:5" ht="16.5" customHeight="1" x14ac:dyDescent="0.4">
      <c r="A536">
        <v>211</v>
      </c>
      <c r="B536" s="11">
        <v>1001</v>
      </c>
      <c r="C536" t="str">
        <f t="shared" si="37"/>
        <v>1호</v>
      </c>
      <c r="D536" t="str">
        <f t="shared" ref="D536:D539" si="39">LEFT(B536,2)</f>
        <v>10</v>
      </c>
      <c r="E536" t="str">
        <f t="shared" si="38"/>
        <v>2111호10</v>
      </c>
    </row>
    <row r="537" spans="1:5" ht="16.5" customHeight="1" x14ac:dyDescent="0.4">
      <c r="A537">
        <v>211</v>
      </c>
      <c r="B537" s="11">
        <v>1002</v>
      </c>
      <c r="C537" t="str">
        <f t="shared" si="37"/>
        <v>2호</v>
      </c>
      <c r="D537" t="str">
        <f t="shared" si="39"/>
        <v>10</v>
      </c>
      <c r="E537" t="str">
        <f t="shared" si="38"/>
        <v>2112호10</v>
      </c>
    </row>
    <row r="538" spans="1:5" ht="16.5" customHeight="1" x14ac:dyDescent="0.4">
      <c r="A538">
        <v>211</v>
      </c>
      <c r="B538" s="11">
        <v>1003</v>
      </c>
      <c r="C538" t="str">
        <f t="shared" si="37"/>
        <v>3호</v>
      </c>
      <c r="D538" t="str">
        <f t="shared" si="39"/>
        <v>10</v>
      </c>
      <c r="E538" t="str">
        <f t="shared" si="38"/>
        <v>2113호10</v>
      </c>
    </row>
    <row r="539" spans="1:5" ht="16.5" customHeight="1" x14ac:dyDescent="0.4">
      <c r="A539">
        <v>211</v>
      </c>
      <c r="B539" s="9">
        <v>1004</v>
      </c>
      <c r="C539" t="str">
        <f t="shared" si="37"/>
        <v>4호</v>
      </c>
      <c r="D539" t="str">
        <f t="shared" si="39"/>
        <v>10</v>
      </c>
      <c r="E539" t="str">
        <f t="shared" si="38"/>
        <v>2114호10</v>
      </c>
    </row>
    <row r="540" spans="1:5" ht="16.5" customHeight="1" x14ac:dyDescent="0.4">
      <c r="A540">
        <v>212</v>
      </c>
      <c r="B540" s="9">
        <v>101</v>
      </c>
      <c r="C540" t="str">
        <f t="shared" si="37"/>
        <v>1호</v>
      </c>
      <c r="D540" t="str">
        <f t="shared" ref="D540:D575" si="40">LEFT(B540,1)</f>
        <v>1</v>
      </c>
      <c r="E540" t="str">
        <f t="shared" si="38"/>
        <v>2121호1</v>
      </c>
    </row>
    <row r="541" spans="1:5" ht="16.5" customHeight="1" x14ac:dyDescent="0.4">
      <c r="A541">
        <v>212</v>
      </c>
      <c r="B541" s="9">
        <v>102</v>
      </c>
      <c r="C541" t="str">
        <f t="shared" si="37"/>
        <v>2호</v>
      </c>
      <c r="D541" t="str">
        <f t="shared" si="40"/>
        <v>1</v>
      </c>
      <c r="E541" t="str">
        <f t="shared" si="38"/>
        <v>2122호1</v>
      </c>
    </row>
    <row r="542" spans="1:5" ht="16.5" customHeight="1" x14ac:dyDescent="0.4">
      <c r="A542">
        <v>212</v>
      </c>
      <c r="B542" s="9">
        <v>103</v>
      </c>
      <c r="C542" t="str">
        <f t="shared" si="37"/>
        <v>3호</v>
      </c>
      <c r="D542" t="str">
        <f t="shared" si="40"/>
        <v>1</v>
      </c>
      <c r="E542" t="str">
        <f t="shared" si="38"/>
        <v>2123호1</v>
      </c>
    </row>
    <row r="543" spans="1:5" ht="16.5" customHeight="1" x14ac:dyDescent="0.4">
      <c r="A543">
        <v>212</v>
      </c>
      <c r="B543" s="9">
        <v>104</v>
      </c>
      <c r="C543" t="str">
        <f t="shared" si="37"/>
        <v>4호</v>
      </c>
      <c r="D543" t="str">
        <f t="shared" si="40"/>
        <v>1</v>
      </c>
      <c r="E543" t="str">
        <f t="shared" si="38"/>
        <v>2124호1</v>
      </c>
    </row>
    <row r="544" spans="1:5" ht="16.5" customHeight="1" x14ac:dyDescent="0.4">
      <c r="A544">
        <v>212</v>
      </c>
      <c r="B544" s="9">
        <v>201</v>
      </c>
      <c r="C544" t="str">
        <f t="shared" si="37"/>
        <v>1호</v>
      </c>
      <c r="D544" t="str">
        <f t="shared" si="40"/>
        <v>2</v>
      </c>
      <c r="E544" t="str">
        <f t="shared" si="38"/>
        <v>2121호2</v>
      </c>
    </row>
    <row r="545" spans="1:5" ht="16.5" customHeight="1" x14ac:dyDescent="0.4">
      <c r="A545">
        <v>212</v>
      </c>
      <c r="B545" s="9">
        <v>202</v>
      </c>
      <c r="C545" t="str">
        <f t="shared" si="37"/>
        <v>2호</v>
      </c>
      <c r="D545" t="str">
        <f t="shared" si="40"/>
        <v>2</v>
      </c>
      <c r="E545" t="str">
        <f t="shared" si="38"/>
        <v>2122호2</v>
      </c>
    </row>
    <row r="546" spans="1:5" ht="16.5" customHeight="1" x14ac:dyDescent="0.4">
      <c r="A546">
        <v>212</v>
      </c>
      <c r="B546" s="9">
        <v>203</v>
      </c>
      <c r="C546" t="str">
        <f t="shared" si="37"/>
        <v>3호</v>
      </c>
      <c r="D546" t="str">
        <f t="shared" si="40"/>
        <v>2</v>
      </c>
      <c r="E546" t="str">
        <f t="shared" si="38"/>
        <v>2123호2</v>
      </c>
    </row>
    <row r="547" spans="1:5" ht="16.5" customHeight="1" x14ac:dyDescent="0.4">
      <c r="A547">
        <v>212</v>
      </c>
      <c r="B547" s="9">
        <v>204</v>
      </c>
      <c r="C547" t="str">
        <f t="shared" si="37"/>
        <v>4호</v>
      </c>
      <c r="D547" t="str">
        <f t="shared" si="40"/>
        <v>2</v>
      </c>
      <c r="E547" t="str">
        <f t="shared" si="38"/>
        <v>2124호2</v>
      </c>
    </row>
    <row r="548" spans="1:5" ht="16.5" customHeight="1" x14ac:dyDescent="0.4">
      <c r="A548">
        <v>212</v>
      </c>
      <c r="B548" s="9">
        <v>301</v>
      </c>
      <c r="C548" t="str">
        <f t="shared" si="37"/>
        <v>1호</v>
      </c>
      <c r="D548" t="str">
        <f t="shared" si="40"/>
        <v>3</v>
      </c>
      <c r="E548" t="str">
        <f t="shared" si="38"/>
        <v>2121호3</v>
      </c>
    </row>
    <row r="549" spans="1:5" ht="16.5" customHeight="1" x14ac:dyDescent="0.4">
      <c r="A549">
        <v>212</v>
      </c>
      <c r="B549" s="9">
        <v>302</v>
      </c>
      <c r="C549" t="str">
        <f t="shared" si="37"/>
        <v>2호</v>
      </c>
      <c r="D549" t="str">
        <f t="shared" si="40"/>
        <v>3</v>
      </c>
      <c r="E549" t="str">
        <f t="shared" si="38"/>
        <v>2122호3</v>
      </c>
    </row>
    <row r="550" spans="1:5" ht="16.5" customHeight="1" x14ac:dyDescent="0.4">
      <c r="A550">
        <v>212</v>
      </c>
      <c r="B550" s="9">
        <v>303</v>
      </c>
      <c r="C550" t="str">
        <f t="shared" si="37"/>
        <v>3호</v>
      </c>
      <c r="D550" t="str">
        <f t="shared" si="40"/>
        <v>3</v>
      </c>
      <c r="E550" t="str">
        <f t="shared" si="38"/>
        <v>2123호3</v>
      </c>
    </row>
    <row r="551" spans="1:5" ht="16.5" customHeight="1" x14ac:dyDescent="0.4">
      <c r="A551">
        <v>212</v>
      </c>
      <c r="B551" s="9">
        <v>304</v>
      </c>
      <c r="C551" t="str">
        <f t="shared" si="37"/>
        <v>4호</v>
      </c>
      <c r="D551" t="str">
        <f t="shared" si="40"/>
        <v>3</v>
      </c>
      <c r="E551" t="str">
        <f t="shared" si="38"/>
        <v>2124호3</v>
      </c>
    </row>
    <row r="552" spans="1:5" ht="16.5" customHeight="1" x14ac:dyDescent="0.4">
      <c r="A552">
        <v>212</v>
      </c>
      <c r="B552" s="22">
        <v>401</v>
      </c>
      <c r="C552" t="str">
        <f t="shared" si="37"/>
        <v>1호</v>
      </c>
      <c r="D552" t="str">
        <f t="shared" si="40"/>
        <v>4</v>
      </c>
      <c r="E552" t="str">
        <f t="shared" si="38"/>
        <v>2121호4</v>
      </c>
    </row>
    <row r="553" spans="1:5" ht="16.5" customHeight="1" x14ac:dyDescent="0.4">
      <c r="A553">
        <v>212</v>
      </c>
      <c r="B553" s="11">
        <v>402</v>
      </c>
      <c r="C553" t="str">
        <f t="shared" si="37"/>
        <v>2호</v>
      </c>
      <c r="D553" t="str">
        <f t="shared" si="40"/>
        <v>4</v>
      </c>
      <c r="E553" t="str">
        <f t="shared" si="38"/>
        <v>2122호4</v>
      </c>
    </row>
    <row r="554" spans="1:5" ht="16.5" customHeight="1" x14ac:dyDescent="0.4">
      <c r="A554">
        <v>212</v>
      </c>
      <c r="B554" s="11">
        <v>403</v>
      </c>
      <c r="C554" t="str">
        <f t="shared" si="37"/>
        <v>3호</v>
      </c>
      <c r="D554" t="str">
        <f t="shared" si="40"/>
        <v>4</v>
      </c>
      <c r="E554" t="str">
        <f t="shared" si="38"/>
        <v>2123호4</v>
      </c>
    </row>
    <row r="555" spans="1:5" ht="16.5" customHeight="1" x14ac:dyDescent="0.4">
      <c r="A555">
        <v>212</v>
      </c>
      <c r="B555" s="11">
        <v>404</v>
      </c>
      <c r="C555" t="str">
        <f t="shared" si="37"/>
        <v>4호</v>
      </c>
      <c r="D555" t="str">
        <f t="shared" si="40"/>
        <v>4</v>
      </c>
      <c r="E555" t="str">
        <f t="shared" si="38"/>
        <v>2124호4</v>
      </c>
    </row>
    <row r="556" spans="1:5" ht="16.5" customHeight="1" x14ac:dyDescent="0.4">
      <c r="A556">
        <v>212</v>
      </c>
      <c r="B556" s="11">
        <v>501</v>
      </c>
      <c r="C556" t="str">
        <f t="shared" si="37"/>
        <v>1호</v>
      </c>
      <c r="D556" t="str">
        <f t="shared" si="40"/>
        <v>5</v>
      </c>
      <c r="E556" t="str">
        <f t="shared" si="38"/>
        <v>2121호5</v>
      </c>
    </row>
    <row r="557" spans="1:5" ht="16.5" customHeight="1" x14ac:dyDescent="0.4">
      <c r="A557">
        <v>212</v>
      </c>
      <c r="B557" s="11">
        <v>502</v>
      </c>
      <c r="C557" t="str">
        <f t="shared" si="37"/>
        <v>2호</v>
      </c>
      <c r="D557" t="str">
        <f t="shared" si="40"/>
        <v>5</v>
      </c>
      <c r="E557" t="str">
        <f t="shared" si="38"/>
        <v>2122호5</v>
      </c>
    </row>
    <row r="558" spans="1:5" ht="16.5" customHeight="1" x14ac:dyDescent="0.4">
      <c r="A558">
        <v>212</v>
      </c>
      <c r="B558" s="11">
        <v>503</v>
      </c>
      <c r="C558" t="str">
        <f t="shared" si="37"/>
        <v>3호</v>
      </c>
      <c r="D558" t="str">
        <f t="shared" si="40"/>
        <v>5</v>
      </c>
      <c r="E558" t="str">
        <f t="shared" si="38"/>
        <v>2123호5</v>
      </c>
    </row>
    <row r="559" spans="1:5" ht="16.5" customHeight="1" x14ac:dyDescent="0.4">
      <c r="A559">
        <v>212</v>
      </c>
      <c r="B559" s="11">
        <v>504</v>
      </c>
      <c r="C559" t="str">
        <f t="shared" si="37"/>
        <v>4호</v>
      </c>
      <c r="D559" t="str">
        <f t="shared" si="40"/>
        <v>5</v>
      </c>
      <c r="E559" t="str">
        <f t="shared" si="38"/>
        <v>2124호5</v>
      </c>
    </row>
    <row r="560" spans="1:5" ht="16.5" customHeight="1" x14ac:dyDescent="0.4">
      <c r="A560">
        <v>212</v>
      </c>
      <c r="B560" s="11">
        <v>601</v>
      </c>
      <c r="C560" t="str">
        <f t="shared" si="37"/>
        <v>1호</v>
      </c>
      <c r="D560" t="str">
        <f t="shared" si="40"/>
        <v>6</v>
      </c>
      <c r="E560" t="str">
        <f t="shared" si="38"/>
        <v>2121호6</v>
      </c>
    </row>
    <row r="561" spans="1:5" ht="16.5" customHeight="1" x14ac:dyDescent="0.4">
      <c r="A561">
        <v>212</v>
      </c>
      <c r="B561" s="11">
        <v>602</v>
      </c>
      <c r="C561" t="str">
        <f t="shared" si="37"/>
        <v>2호</v>
      </c>
      <c r="D561" t="str">
        <f t="shared" si="40"/>
        <v>6</v>
      </c>
      <c r="E561" t="str">
        <f t="shared" si="38"/>
        <v>2122호6</v>
      </c>
    </row>
    <row r="562" spans="1:5" ht="16.5" customHeight="1" x14ac:dyDescent="0.4">
      <c r="A562">
        <v>212</v>
      </c>
      <c r="B562" s="11">
        <v>603</v>
      </c>
      <c r="C562" t="str">
        <f t="shared" si="37"/>
        <v>3호</v>
      </c>
      <c r="D562" t="str">
        <f t="shared" si="40"/>
        <v>6</v>
      </c>
      <c r="E562" t="str">
        <f t="shared" si="38"/>
        <v>2123호6</v>
      </c>
    </row>
    <row r="563" spans="1:5" ht="16.5" customHeight="1" x14ac:dyDescent="0.4">
      <c r="A563">
        <v>212</v>
      </c>
      <c r="B563" s="11">
        <v>604</v>
      </c>
      <c r="C563" t="str">
        <f t="shared" si="37"/>
        <v>4호</v>
      </c>
      <c r="D563" t="str">
        <f t="shared" si="40"/>
        <v>6</v>
      </c>
      <c r="E563" t="str">
        <f t="shared" si="38"/>
        <v>2124호6</v>
      </c>
    </row>
    <row r="564" spans="1:5" ht="16.5" customHeight="1" x14ac:dyDescent="0.4">
      <c r="A564">
        <v>212</v>
      </c>
      <c r="B564" s="11">
        <v>701</v>
      </c>
      <c r="C564" t="str">
        <f t="shared" si="37"/>
        <v>1호</v>
      </c>
      <c r="D564" t="str">
        <f t="shared" si="40"/>
        <v>7</v>
      </c>
      <c r="E564" t="str">
        <f t="shared" si="38"/>
        <v>2121호7</v>
      </c>
    </row>
    <row r="565" spans="1:5" ht="16.5" customHeight="1" x14ac:dyDescent="0.4">
      <c r="A565">
        <v>212</v>
      </c>
      <c r="B565" s="11">
        <v>702</v>
      </c>
      <c r="C565" t="str">
        <f t="shared" si="37"/>
        <v>2호</v>
      </c>
      <c r="D565" t="str">
        <f t="shared" si="40"/>
        <v>7</v>
      </c>
      <c r="E565" t="str">
        <f t="shared" si="38"/>
        <v>2122호7</v>
      </c>
    </row>
    <row r="566" spans="1:5" ht="16.5" customHeight="1" x14ac:dyDescent="0.4">
      <c r="A566">
        <v>212</v>
      </c>
      <c r="B566" s="24">
        <v>703</v>
      </c>
      <c r="C566" t="str">
        <f t="shared" si="37"/>
        <v>3호</v>
      </c>
      <c r="D566" t="str">
        <f t="shared" si="40"/>
        <v>7</v>
      </c>
      <c r="E566" t="str">
        <f t="shared" si="38"/>
        <v>2123호7</v>
      </c>
    </row>
    <row r="567" spans="1:5" ht="16.5" customHeight="1" x14ac:dyDescent="0.4">
      <c r="A567">
        <v>212</v>
      </c>
      <c r="B567" s="11">
        <v>704</v>
      </c>
      <c r="C567" t="str">
        <f t="shared" si="37"/>
        <v>4호</v>
      </c>
      <c r="D567" t="str">
        <f t="shared" si="40"/>
        <v>7</v>
      </c>
      <c r="E567" t="str">
        <f t="shared" si="38"/>
        <v>2124호7</v>
      </c>
    </row>
    <row r="568" spans="1:5" ht="16.5" customHeight="1" x14ac:dyDescent="0.4">
      <c r="A568">
        <v>212</v>
      </c>
      <c r="B568" s="11">
        <v>801</v>
      </c>
      <c r="C568" t="str">
        <f t="shared" si="37"/>
        <v>1호</v>
      </c>
      <c r="D568" t="str">
        <f t="shared" si="40"/>
        <v>8</v>
      </c>
      <c r="E568" t="str">
        <f t="shared" si="38"/>
        <v>2121호8</v>
      </c>
    </row>
    <row r="569" spans="1:5" ht="16.5" customHeight="1" x14ac:dyDescent="0.4">
      <c r="A569">
        <v>212</v>
      </c>
      <c r="B569" s="11">
        <v>802</v>
      </c>
      <c r="C569" t="str">
        <f t="shared" si="37"/>
        <v>2호</v>
      </c>
      <c r="D569" t="str">
        <f t="shared" si="40"/>
        <v>8</v>
      </c>
      <c r="E569" t="str">
        <f t="shared" si="38"/>
        <v>2122호8</v>
      </c>
    </row>
    <row r="570" spans="1:5" ht="16.5" customHeight="1" x14ac:dyDescent="0.4">
      <c r="A570">
        <v>212</v>
      </c>
      <c r="B570" s="11">
        <v>803</v>
      </c>
      <c r="C570" t="str">
        <f t="shared" si="37"/>
        <v>3호</v>
      </c>
      <c r="D570" t="str">
        <f t="shared" si="40"/>
        <v>8</v>
      </c>
      <c r="E570" t="str">
        <f t="shared" si="38"/>
        <v>2123호8</v>
      </c>
    </row>
    <row r="571" spans="1:5" ht="16.5" customHeight="1" x14ac:dyDescent="0.4">
      <c r="A571">
        <v>212</v>
      </c>
      <c r="B571" s="11">
        <v>804</v>
      </c>
      <c r="C571" t="str">
        <f t="shared" si="37"/>
        <v>4호</v>
      </c>
      <c r="D571" t="str">
        <f t="shared" si="40"/>
        <v>8</v>
      </c>
      <c r="E571" t="str">
        <f t="shared" si="38"/>
        <v>2124호8</v>
      </c>
    </row>
    <row r="572" spans="1:5" ht="16.5" customHeight="1" x14ac:dyDescent="0.4">
      <c r="A572">
        <v>212</v>
      </c>
      <c r="B572" s="11">
        <v>901</v>
      </c>
      <c r="C572" t="str">
        <f t="shared" si="37"/>
        <v>1호</v>
      </c>
      <c r="D572" t="str">
        <f t="shared" si="40"/>
        <v>9</v>
      </c>
      <c r="E572" t="str">
        <f t="shared" si="38"/>
        <v>2121호9</v>
      </c>
    </row>
    <row r="573" spans="1:5" ht="16.5" customHeight="1" x14ac:dyDescent="0.4">
      <c r="A573">
        <v>212</v>
      </c>
      <c r="B573" s="11">
        <v>902</v>
      </c>
      <c r="C573" t="str">
        <f t="shared" si="37"/>
        <v>2호</v>
      </c>
      <c r="D573" t="str">
        <f t="shared" si="40"/>
        <v>9</v>
      </c>
      <c r="E573" t="str">
        <f t="shared" si="38"/>
        <v>2122호9</v>
      </c>
    </row>
    <row r="574" spans="1:5" ht="16.5" customHeight="1" x14ac:dyDescent="0.4">
      <c r="A574">
        <v>212</v>
      </c>
      <c r="B574" s="11">
        <v>903</v>
      </c>
      <c r="C574" t="str">
        <f t="shared" si="37"/>
        <v>3호</v>
      </c>
      <c r="D574" t="str">
        <f t="shared" si="40"/>
        <v>9</v>
      </c>
      <c r="E574" t="str">
        <f t="shared" si="38"/>
        <v>2123호9</v>
      </c>
    </row>
    <row r="575" spans="1:5" ht="16.5" customHeight="1" x14ac:dyDescent="0.4">
      <c r="A575">
        <v>212</v>
      </c>
      <c r="B575" s="11">
        <v>904</v>
      </c>
      <c r="C575" t="str">
        <f t="shared" si="37"/>
        <v>4호</v>
      </c>
      <c r="D575" t="str">
        <f t="shared" si="40"/>
        <v>9</v>
      </c>
      <c r="E575" t="str">
        <f t="shared" si="38"/>
        <v>2124호9</v>
      </c>
    </row>
    <row r="576" spans="1:5" ht="16.5" customHeight="1" x14ac:dyDescent="0.4">
      <c r="A576">
        <v>212</v>
      </c>
      <c r="B576" s="11">
        <v>1001</v>
      </c>
      <c r="C576" t="str">
        <f t="shared" si="37"/>
        <v>1호</v>
      </c>
      <c r="D576" t="str">
        <f t="shared" ref="D576:D595" si="41">LEFT(B576,2)</f>
        <v>10</v>
      </c>
      <c r="E576" t="str">
        <f t="shared" si="38"/>
        <v>2121호10</v>
      </c>
    </row>
    <row r="577" spans="1:5" ht="16.5" customHeight="1" x14ac:dyDescent="0.4">
      <c r="A577">
        <v>212</v>
      </c>
      <c r="B577" s="11">
        <v>1002</v>
      </c>
      <c r="C577" t="str">
        <f t="shared" si="37"/>
        <v>2호</v>
      </c>
      <c r="D577" t="str">
        <f t="shared" si="41"/>
        <v>10</v>
      </c>
      <c r="E577" t="str">
        <f t="shared" si="38"/>
        <v>2122호10</v>
      </c>
    </row>
    <row r="578" spans="1:5" ht="16.5" customHeight="1" x14ac:dyDescent="0.4">
      <c r="A578">
        <v>212</v>
      </c>
      <c r="B578" s="11">
        <v>1003</v>
      </c>
      <c r="C578" t="str">
        <f t="shared" si="37"/>
        <v>3호</v>
      </c>
      <c r="D578" t="str">
        <f t="shared" si="41"/>
        <v>10</v>
      </c>
      <c r="E578" t="str">
        <f t="shared" si="38"/>
        <v>2123호10</v>
      </c>
    </row>
    <row r="579" spans="1:5" ht="16.5" customHeight="1" x14ac:dyDescent="0.4">
      <c r="A579">
        <v>212</v>
      </c>
      <c r="B579" s="11">
        <v>1004</v>
      </c>
      <c r="C579" t="str">
        <f t="shared" si="37"/>
        <v>4호</v>
      </c>
      <c r="D579" t="str">
        <f t="shared" si="41"/>
        <v>10</v>
      </c>
      <c r="E579" t="str">
        <f t="shared" si="38"/>
        <v>2124호10</v>
      </c>
    </row>
    <row r="580" spans="1:5" ht="16.5" customHeight="1" x14ac:dyDescent="0.4">
      <c r="A580">
        <v>212</v>
      </c>
      <c r="B580" s="24">
        <v>1101</v>
      </c>
      <c r="C580" t="str">
        <f t="shared" ref="C580:C643" si="42">RIGHT(B580,1)&amp;"호"</f>
        <v>1호</v>
      </c>
      <c r="D580" t="str">
        <f t="shared" si="41"/>
        <v>11</v>
      </c>
      <c r="E580" t="str">
        <f t="shared" ref="E580:E643" si="43">A580&amp;C580&amp;D580</f>
        <v>2121호11</v>
      </c>
    </row>
    <row r="581" spans="1:5" ht="16.5" customHeight="1" x14ac:dyDescent="0.4">
      <c r="A581">
        <v>212</v>
      </c>
      <c r="B581" s="11">
        <v>1102</v>
      </c>
      <c r="C581" t="str">
        <f t="shared" si="42"/>
        <v>2호</v>
      </c>
      <c r="D581" t="str">
        <f t="shared" si="41"/>
        <v>11</v>
      </c>
      <c r="E581" t="str">
        <f t="shared" si="43"/>
        <v>2122호11</v>
      </c>
    </row>
    <row r="582" spans="1:5" ht="16.5" customHeight="1" x14ac:dyDescent="0.4">
      <c r="A582">
        <v>212</v>
      </c>
      <c r="B582" s="11">
        <v>1103</v>
      </c>
      <c r="C582" t="str">
        <f t="shared" si="42"/>
        <v>3호</v>
      </c>
      <c r="D582" t="str">
        <f t="shared" si="41"/>
        <v>11</v>
      </c>
      <c r="E582" t="str">
        <f t="shared" si="43"/>
        <v>2123호11</v>
      </c>
    </row>
    <row r="583" spans="1:5" ht="16.5" customHeight="1" x14ac:dyDescent="0.4">
      <c r="A583">
        <v>212</v>
      </c>
      <c r="B583" s="11">
        <v>1104</v>
      </c>
      <c r="C583" t="str">
        <f t="shared" si="42"/>
        <v>4호</v>
      </c>
      <c r="D583" t="str">
        <f t="shared" si="41"/>
        <v>11</v>
      </c>
      <c r="E583" t="str">
        <f t="shared" si="43"/>
        <v>2124호11</v>
      </c>
    </row>
    <row r="584" spans="1:5" ht="16.5" customHeight="1" x14ac:dyDescent="0.4">
      <c r="A584">
        <v>212</v>
      </c>
      <c r="B584" s="11">
        <v>1201</v>
      </c>
      <c r="C584" t="str">
        <f t="shared" si="42"/>
        <v>1호</v>
      </c>
      <c r="D584" t="str">
        <f t="shared" si="41"/>
        <v>12</v>
      </c>
      <c r="E584" t="str">
        <f t="shared" si="43"/>
        <v>2121호12</v>
      </c>
    </row>
    <row r="585" spans="1:5" ht="16.5" customHeight="1" x14ac:dyDescent="0.4">
      <c r="A585">
        <v>212</v>
      </c>
      <c r="B585" s="11">
        <v>1202</v>
      </c>
      <c r="C585" t="str">
        <f t="shared" si="42"/>
        <v>2호</v>
      </c>
      <c r="D585" t="str">
        <f t="shared" si="41"/>
        <v>12</v>
      </c>
      <c r="E585" t="str">
        <f t="shared" si="43"/>
        <v>2122호12</v>
      </c>
    </row>
    <row r="586" spans="1:5" ht="16.5" customHeight="1" x14ac:dyDescent="0.4">
      <c r="A586">
        <v>212</v>
      </c>
      <c r="B586" s="11">
        <v>1203</v>
      </c>
      <c r="C586" t="str">
        <f t="shared" si="42"/>
        <v>3호</v>
      </c>
      <c r="D586" t="str">
        <f t="shared" si="41"/>
        <v>12</v>
      </c>
      <c r="E586" t="str">
        <f t="shared" si="43"/>
        <v>2123호12</v>
      </c>
    </row>
    <row r="587" spans="1:5" ht="16.5" customHeight="1" x14ac:dyDescent="0.4">
      <c r="A587">
        <v>212</v>
      </c>
      <c r="B587" s="11">
        <v>1204</v>
      </c>
      <c r="C587" t="str">
        <f t="shared" si="42"/>
        <v>4호</v>
      </c>
      <c r="D587" t="str">
        <f t="shared" si="41"/>
        <v>12</v>
      </c>
      <c r="E587" t="str">
        <f t="shared" si="43"/>
        <v>2124호12</v>
      </c>
    </row>
    <row r="588" spans="1:5" ht="16.5" customHeight="1" x14ac:dyDescent="0.4">
      <c r="A588">
        <v>212</v>
      </c>
      <c r="B588" s="11">
        <v>1301</v>
      </c>
      <c r="C588" t="str">
        <f t="shared" si="42"/>
        <v>1호</v>
      </c>
      <c r="D588" t="str">
        <f t="shared" si="41"/>
        <v>13</v>
      </c>
      <c r="E588" t="str">
        <f t="shared" si="43"/>
        <v>2121호13</v>
      </c>
    </row>
    <row r="589" spans="1:5" ht="16.5" customHeight="1" x14ac:dyDescent="0.4">
      <c r="A589">
        <v>212</v>
      </c>
      <c r="B589" s="11">
        <v>1302</v>
      </c>
      <c r="C589" t="str">
        <f t="shared" si="42"/>
        <v>2호</v>
      </c>
      <c r="D589" t="str">
        <f t="shared" si="41"/>
        <v>13</v>
      </c>
      <c r="E589" t="str">
        <f t="shared" si="43"/>
        <v>2122호13</v>
      </c>
    </row>
    <row r="590" spans="1:5" ht="16.5" customHeight="1" x14ac:dyDescent="0.4">
      <c r="A590">
        <v>212</v>
      </c>
      <c r="B590" s="11">
        <v>1303</v>
      </c>
      <c r="C590" t="str">
        <f t="shared" si="42"/>
        <v>3호</v>
      </c>
      <c r="D590" t="str">
        <f t="shared" si="41"/>
        <v>13</v>
      </c>
      <c r="E590" t="str">
        <f t="shared" si="43"/>
        <v>2123호13</v>
      </c>
    </row>
    <row r="591" spans="1:5" ht="16.5" customHeight="1" x14ac:dyDescent="0.4">
      <c r="A591">
        <v>212</v>
      </c>
      <c r="B591" s="11">
        <v>1304</v>
      </c>
      <c r="C591" t="str">
        <f t="shared" si="42"/>
        <v>4호</v>
      </c>
      <c r="D591" t="str">
        <f t="shared" si="41"/>
        <v>13</v>
      </c>
      <c r="E591" t="str">
        <f t="shared" si="43"/>
        <v>2124호13</v>
      </c>
    </row>
    <row r="592" spans="1:5" ht="16.5" customHeight="1" x14ac:dyDescent="0.4">
      <c r="A592">
        <v>212</v>
      </c>
      <c r="B592" s="11">
        <v>1401</v>
      </c>
      <c r="C592" t="str">
        <f t="shared" si="42"/>
        <v>1호</v>
      </c>
      <c r="D592" t="str">
        <f t="shared" si="41"/>
        <v>14</v>
      </c>
      <c r="E592" t="str">
        <f t="shared" si="43"/>
        <v>2121호14</v>
      </c>
    </row>
    <row r="593" spans="1:5" ht="16.5" customHeight="1" x14ac:dyDescent="0.4">
      <c r="A593">
        <v>212</v>
      </c>
      <c r="B593" s="11">
        <v>1402</v>
      </c>
      <c r="C593" t="str">
        <f t="shared" si="42"/>
        <v>2호</v>
      </c>
      <c r="D593" t="str">
        <f t="shared" si="41"/>
        <v>14</v>
      </c>
      <c r="E593" t="str">
        <f t="shared" si="43"/>
        <v>2122호14</v>
      </c>
    </row>
    <row r="594" spans="1:5" ht="16.5" customHeight="1" x14ac:dyDescent="0.4">
      <c r="A594">
        <v>212</v>
      </c>
      <c r="B594" s="24">
        <v>1403</v>
      </c>
      <c r="C594" t="str">
        <f t="shared" si="42"/>
        <v>3호</v>
      </c>
      <c r="D594" t="str">
        <f t="shared" si="41"/>
        <v>14</v>
      </c>
      <c r="E594" t="str">
        <f t="shared" si="43"/>
        <v>2123호14</v>
      </c>
    </row>
    <row r="595" spans="1:5" ht="16.5" customHeight="1" x14ac:dyDescent="0.4">
      <c r="A595">
        <v>212</v>
      </c>
      <c r="B595" s="9">
        <v>1404</v>
      </c>
      <c r="C595" t="str">
        <f t="shared" si="42"/>
        <v>4호</v>
      </c>
      <c r="D595" t="str">
        <f t="shared" si="41"/>
        <v>14</v>
      </c>
      <c r="E595" t="str">
        <f t="shared" si="43"/>
        <v>2124호14</v>
      </c>
    </row>
    <row r="596" spans="1:5" ht="16.5" customHeight="1" x14ac:dyDescent="0.4">
      <c r="A596">
        <v>213</v>
      </c>
      <c r="B596" s="9">
        <v>101</v>
      </c>
      <c r="C596" t="str">
        <f t="shared" si="42"/>
        <v>1호</v>
      </c>
      <c r="D596" t="str">
        <f t="shared" ref="D596:D640" si="44">LEFT(B596,1)</f>
        <v>1</v>
      </c>
      <c r="E596" t="str">
        <f t="shared" si="43"/>
        <v>2131호1</v>
      </c>
    </row>
    <row r="597" spans="1:5" ht="16.5" customHeight="1" x14ac:dyDescent="0.4">
      <c r="A597">
        <v>213</v>
      </c>
      <c r="B597" s="9">
        <v>102</v>
      </c>
      <c r="C597" t="str">
        <f t="shared" si="42"/>
        <v>2호</v>
      </c>
      <c r="D597" t="str">
        <f t="shared" si="44"/>
        <v>1</v>
      </c>
      <c r="E597" t="str">
        <f t="shared" si="43"/>
        <v>2132호1</v>
      </c>
    </row>
    <row r="598" spans="1:5" ht="16.5" customHeight="1" x14ac:dyDescent="0.4">
      <c r="A598">
        <v>213</v>
      </c>
      <c r="B598" s="9">
        <v>103</v>
      </c>
      <c r="C598" t="str">
        <f t="shared" si="42"/>
        <v>3호</v>
      </c>
      <c r="D598" t="str">
        <f t="shared" si="44"/>
        <v>1</v>
      </c>
      <c r="E598" t="str">
        <f t="shared" si="43"/>
        <v>2133호1</v>
      </c>
    </row>
    <row r="599" spans="1:5" ht="16.5" customHeight="1" x14ac:dyDescent="0.4">
      <c r="A599">
        <v>213</v>
      </c>
      <c r="B599" s="9">
        <v>104</v>
      </c>
      <c r="C599" t="str">
        <f t="shared" si="42"/>
        <v>4호</v>
      </c>
      <c r="D599" t="str">
        <f t="shared" si="44"/>
        <v>1</v>
      </c>
      <c r="E599" t="str">
        <f t="shared" si="43"/>
        <v>2134호1</v>
      </c>
    </row>
    <row r="600" spans="1:5" ht="16.5" customHeight="1" x14ac:dyDescent="0.4">
      <c r="A600">
        <v>213</v>
      </c>
      <c r="B600" s="9">
        <v>105</v>
      </c>
      <c r="C600" t="str">
        <f t="shared" si="42"/>
        <v>5호</v>
      </c>
      <c r="D600" t="str">
        <f t="shared" si="44"/>
        <v>1</v>
      </c>
      <c r="E600" t="str">
        <f t="shared" si="43"/>
        <v>2135호1</v>
      </c>
    </row>
    <row r="601" spans="1:5" ht="16.5" customHeight="1" x14ac:dyDescent="0.4">
      <c r="A601">
        <v>213</v>
      </c>
      <c r="B601" s="9">
        <v>201</v>
      </c>
      <c r="C601" t="str">
        <f t="shared" si="42"/>
        <v>1호</v>
      </c>
      <c r="D601" t="str">
        <f t="shared" si="44"/>
        <v>2</v>
      </c>
      <c r="E601" t="str">
        <f t="shared" si="43"/>
        <v>2131호2</v>
      </c>
    </row>
    <row r="602" spans="1:5" ht="16.5" customHeight="1" x14ac:dyDescent="0.4">
      <c r="A602">
        <v>213</v>
      </c>
      <c r="B602" s="9">
        <v>202</v>
      </c>
      <c r="C602" t="str">
        <f t="shared" si="42"/>
        <v>2호</v>
      </c>
      <c r="D602" t="str">
        <f t="shared" si="44"/>
        <v>2</v>
      </c>
      <c r="E602" t="str">
        <f t="shared" si="43"/>
        <v>2132호2</v>
      </c>
    </row>
    <row r="603" spans="1:5" ht="16.5" customHeight="1" x14ac:dyDescent="0.4">
      <c r="A603">
        <v>213</v>
      </c>
      <c r="B603" s="9">
        <v>203</v>
      </c>
      <c r="C603" t="str">
        <f t="shared" si="42"/>
        <v>3호</v>
      </c>
      <c r="D603" t="str">
        <f t="shared" si="44"/>
        <v>2</v>
      </c>
      <c r="E603" t="str">
        <f t="shared" si="43"/>
        <v>2133호2</v>
      </c>
    </row>
    <row r="604" spans="1:5" ht="16.5" customHeight="1" x14ac:dyDescent="0.4">
      <c r="A604">
        <v>213</v>
      </c>
      <c r="B604" s="9">
        <v>204</v>
      </c>
      <c r="C604" t="str">
        <f t="shared" si="42"/>
        <v>4호</v>
      </c>
      <c r="D604" t="str">
        <f t="shared" si="44"/>
        <v>2</v>
      </c>
      <c r="E604" t="str">
        <f t="shared" si="43"/>
        <v>2134호2</v>
      </c>
    </row>
    <row r="605" spans="1:5" ht="16.5" customHeight="1" x14ac:dyDescent="0.4">
      <c r="A605">
        <v>213</v>
      </c>
      <c r="B605" s="9">
        <v>205</v>
      </c>
      <c r="C605" t="str">
        <f t="shared" si="42"/>
        <v>5호</v>
      </c>
      <c r="D605" t="str">
        <f t="shared" si="44"/>
        <v>2</v>
      </c>
      <c r="E605" t="str">
        <f t="shared" si="43"/>
        <v>2135호2</v>
      </c>
    </row>
    <row r="606" spans="1:5" ht="16.5" customHeight="1" x14ac:dyDescent="0.4">
      <c r="A606">
        <v>213</v>
      </c>
      <c r="B606" s="9">
        <v>301</v>
      </c>
      <c r="C606" t="str">
        <f t="shared" si="42"/>
        <v>1호</v>
      </c>
      <c r="D606" t="str">
        <f t="shared" si="44"/>
        <v>3</v>
      </c>
      <c r="E606" t="str">
        <f t="shared" si="43"/>
        <v>2131호3</v>
      </c>
    </row>
    <row r="607" spans="1:5" ht="16.5" customHeight="1" x14ac:dyDescent="0.4">
      <c r="A607">
        <v>213</v>
      </c>
      <c r="B607" s="22">
        <v>302</v>
      </c>
      <c r="C607" t="str">
        <f t="shared" si="42"/>
        <v>2호</v>
      </c>
      <c r="D607" t="str">
        <f t="shared" si="44"/>
        <v>3</v>
      </c>
      <c r="E607" t="str">
        <f t="shared" si="43"/>
        <v>2132호3</v>
      </c>
    </row>
    <row r="608" spans="1:5" ht="16.5" customHeight="1" x14ac:dyDescent="0.4">
      <c r="A608">
        <v>213</v>
      </c>
      <c r="B608" s="11">
        <v>303</v>
      </c>
      <c r="C608" t="str">
        <f t="shared" si="42"/>
        <v>3호</v>
      </c>
      <c r="D608" t="str">
        <f t="shared" si="44"/>
        <v>3</v>
      </c>
      <c r="E608" t="str">
        <f t="shared" si="43"/>
        <v>2133호3</v>
      </c>
    </row>
    <row r="609" spans="1:5" ht="16.5" customHeight="1" x14ac:dyDescent="0.4">
      <c r="A609">
        <v>213</v>
      </c>
      <c r="B609" s="11">
        <v>304</v>
      </c>
      <c r="C609" t="str">
        <f t="shared" si="42"/>
        <v>4호</v>
      </c>
      <c r="D609" t="str">
        <f t="shared" si="44"/>
        <v>3</v>
      </c>
      <c r="E609" t="str">
        <f t="shared" si="43"/>
        <v>2134호3</v>
      </c>
    </row>
    <row r="610" spans="1:5" ht="16.5" customHeight="1" x14ac:dyDescent="0.4">
      <c r="A610">
        <v>213</v>
      </c>
      <c r="B610" s="11">
        <v>305</v>
      </c>
      <c r="C610" t="str">
        <f t="shared" si="42"/>
        <v>5호</v>
      </c>
      <c r="D610" t="str">
        <f t="shared" si="44"/>
        <v>3</v>
      </c>
      <c r="E610" t="str">
        <f t="shared" si="43"/>
        <v>2135호3</v>
      </c>
    </row>
    <row r="611" spans="1:5" ht="16.5" customHeight="1" x14ac:dyDescent="0.4">
      <c r="A611">
        <v>213</v>
      </c>
      <c r="B611" s="11">
        <v>401</v>
      </c>
      <c r="C611" t="str">
        <f t="shared" si="42"/>
        <v>1호</v>
      </c>
      <c r="D611" t="str">
        <f t="shared" si="44"/>
        <v>4</v>
      </c>
      <c r="E611" t="str">
        <f t="shared" si="43"/>
        <v>2131호4</v>
      </c>
    </row>
    <row r="612" spans="1:5" ht="16.5" customHeight="1" x14ac:dyDescent="0.4">
      <c r="A612">
        <v>213</v>
      </c>
      <c r="B612" s="11">
        <v>402</v>
      </c>
      <c r="C612" t="str">
        <f t="shared" si="42"/>
        <v>2호</v>
      </c>
      <c r="D612" t="str">
        <f t="shared" si="44"/>
        <v>4</v>
      </c>
      <c r="E612" t="str">
        <f t="shared" si="43"/>
        <v>2132호4</v>
      </c>
    </row>
    <row r="613" spans="1:5" ht="16.5" customHeight="1" x14ac:dyDescent="0.4">
      <c r="A613">
        <v>213</v>
      </c>
      <c r="B613" s="11">
        <v>403</v>
      </c>
      <c r="C613" t="str">
        <f t="shared" si="42"/>
        <v>3호</v>
      </c>
      <c r="D613" t="str">
        <f t="shared" si="44"/>
        <v>4</v>
      </c>
      <c r="E613" t="str">
        <f t="shared" si="43"/>
        <v>2133호4</v>
      </c>
    </row>
    <row r="614" spans="1:5" ht="16.5" customHeight="1" x14ac:dyDescent="0.4">
      <c r="A614">
        <v>213</v>
      </c>
      <c r="B614" s="11">
        <v>404</v>
      </c>
      <c r="C614" t="str">
        <f t="shared" si="42"/>
        <v>4호</v>
      </c>
      <c r="D614" t="str">
        <f t="shared" si="44"/>
        <v>4</v>
      </c>
      <c r="E614" t="str">
        <f t="shared" si="43"/>
        <v>2134호4</v>
      </c>
    </row>
    <row r="615" spans="1:5" ht="16.5" customHeight="1" x14ac:dyDescent="0.4">
      <c r="A615">
        <v>213</v>
      </c>
      <c r="B615" s="11">
        <v>405</v>
      </c>
      <c r="C615" t="str">
        <f t="shared" si="42"/>
        <v>5호</v>
      </c>
      <c r="D615" t="str">
        <f t="shared" si="44"/>
        <v>4</v>
      </c>
      <c r="E615" t="str">
        <f t="shared" si="43"/>
        <v>2135호4</v>
      </c>
    </row>
    <row r="616" spans="1:5" ht="16.5" customHeight="1" x14ac:dyDescent="0.4">
      <c r="A616">
        <v>213</v>
      </c>
      <c r="B616" s="11">
        <v>501</v>
      </c>
      <c r="C616" t="str">
        <f t="shared" si="42"/>
        <v>1호</v>
      </c>
      <c r="D616" t="str">
        <f t="shared" si="44"/>
        <v>5</v>
      </c>
      <c r="E616" t="str">
        <f t="shared" si="43"/>
        <v>2131호5</v>
      </c>
    </row>
    <row r="617" spans="1:5" ht="16.5" customHeight="1" x14ac:dyDescent="0.4">
      <c r="A617">
        <v>213</v>
      </c>
      <c r="B617" s="11">
        <v>502</v>
      </c>
      <c r="C617" t="str">
        <f t="shared" si="42"/>
        <v>2호</v>
      </c>
      <c r="D617" t="str">
        <f t="shared" si="44"/>
        <v>5</v>
      </c>
      <c r="E617" t="str">
        <f t="shared" si="43"/>
        <v>2132호5</v>
      </c>
    </row>
    <row r="618" spans="1:5" ht="16.5" customHeight="1" x14ac:dyDescent="0.4">
      <c r="A618">
        <v>213</v>
      </c>
      <c r="B618" s="11">
        <v>503</v>
      </c>
      <c r="C618" t="str">
        <f t="shared" si="42"/>
        <v>3호</v>
      </c>
      <c r="D618" t="str">
        <f t="shared" si="44"/>
        <v>5</v>
      </c>
      <c r="E618" t="str">
        <f t="shared" si="43"/>
        <v>2133호5</v>
      </c>
    </row>
    <row r="619" spans="1:5" ht="16.5" customHeight="1" x14ac:dyDescent="0.4">
      <c r="A619">
        <v>213</v>
      </c>
      <c r="B619" s="11">
        <v>504</v>
      </c>
      <c r="C619" t="str">
        <f t="shared" si="42"/>
        <v>4호</v>
      </c>
      <c r="D619" t="str">
        <f t="shared" si="44"/>
        <v>5</v>
      </c>
      <c r="E619" t="str">
        <f t="shared" si="43"/>
        <v>2134호5</v>
      </c>
    </row>
    <row r="620" spans="1:5" ht="16.5" customHeight="1" x14ac:dyDescent="0.4">
      <c r="A620">
        <v>213</v>
      </c>
      <c r="B620" s="24">
        <v>505</v>
      </c>
      <c r="C620" t="str">
        <f t="shared" si="42"/>
        <v>5호</v>
      </c>
      <c r="D620" t="str">
        <f t="shared" si="44"/>
        <v>5</v>
      </c>
      <c r="E620" t="str">
        <f t="shared" si="43"/>
        <v>2135호5</v>
      </c>
    </row>
    <row r="621" spans="1:5" ht="16.5" customHeight="1" x14ac:dyDescent="0.4">
      <c r="A621">
        <v>213</v>
      </c>
      <c r="B621" s="11">
        <v>601</v>
      </c>
      <c r="C621" t="str">
        <f t="shared" si="42"/>
        <v>1호</v>
      </c>
      <c r="D621" t="str">
        <f t="shared" si="44"/>
        <v>6</v>
      </c>
      <c r="E621" t="str">
        <f t="shared" si="43"/>
        <v>2131호6</v>
      </c>
    </row>
    <row r="622" spans="1:5" ht="16.5" customHeight="1" x14ac:dyDescent="0.4">
      <c r="A622">
        <v>213</v>
      </c>
      <c r="B622" s="11">
        <v>602</v>
      </c>
      <c r="C622" t="str">
        <f t="shared" si="42"/>
        <v>2호</v>
      </c>
      <c r="D622" t="str">
        <f t="shared" si="44"/>
        <v>6</v>
      </c>
      <c r="E622" t="str">
        <f t="shared" si="43"/>
        <v>2132호6</v>
      </c>
    </row>
    <row r="623" spans="1:5" ht="16.5" customHeight="1" x14ac:dyDescent="0.4">
      <c r="A623">
        <v>213</v>
      </c>
      <c r="B623" s="11">
        <v>603</v>
      </c>
      <c r="C623" t="str">
        <f t="shared" si="42"/>
        <v>3호</v>
      </c>
      <c r="D623" t="str">
        <f t="shared" si="44"/>
        <v>6</v>
      </c>
      <c r="E623" t="str">
        <f t="shared" si="43"/>
        <v>2133호6</v>
      </c>
    </row>
    <row r="624" spans="1:5" ht="16.5" customHeight="1" x14ac:dyDescent="0.4">
      <c r="A624">
        <v>213</v>
      </c>
      <c r="B624" s="11">
        <v>604</v>
      </c>
      <c r="C624" t="str">
        <f t="shared" si="42"/>
        <v>4호</v>
      </c>
      <c r="D624" t="str">
        <f t="shared" si="44"/>
        <v>6</v>
      </c>
      <c r="E624" t="str">
        <f t="shared" si="43"/>
        <v>2134호6</v>
      </c>
    </row>
    <row r="625" spans="1:5" ht="16.5" customHeight="1" x14ac:dyDescent="0.4">
      <c r="A625">
        <v>213</v>
      </c>
      <c r="B625" s="11">
        <v>605</v>
      </c>
      <c r="C625" t="str">
        <f t="shared" si="42"/>
        <v>5호</v>
      </c>
      <c r="D625" t="str">
        <f t="shared" si="44"/>
        <v>6</v>
      </c>
      <c r="E625" t="str">
        <f t="shared" si="43"/>
        <v>2135호6</v>
      </c>
    </row>
    <row r="626" spans="1:5" ht="16.5" customHeight="1" x14ac:dyDescent="0.4">
      <c r="A626">
        <v>213</v>
      </c>
      <c r="B626" s="11">
        <v>701</v>
      </c>
      <c r="C626" t="str">
        <f t="shared" si="42"/>
        <v>1호</v>
      </c>
      <c r="D626" t="str">
        <f t="shared" si="44"/>
        <v>7</v>
      </c>
      <c r="E626" t="str">
        <f t="shared" si="43"/>
        <v>2131호7</v>
      </c>
    </row>
    <row r="627" spans="1:5" ht="16.5" customHeight="1" x14ac:dyDescent="0.4">
      <c r="A627">
        <v>213</v>
      </c>
      <c r="B627" s="11">
        <v>702</v>
      </c>
      <c r="C627" t="str">
        <f t="shared" si="42"/>
        <v>2호</v>
      </c>
      <c r="D627" t="str">
        <f t="shared" si="44"/>
        <v>7</v>
      </c>
      <c r="E627" t="str">
        <f t="shared" si="43"/>
        <v>2132호7</v>
      </c>
    </row>
    <row r="628" spans="1:5" ht="16.5" customHeight="1" x14ac:dyDescent="0.4">
      <c r="A628">
        <v>213</v>
      </c>
      <c r="B628" s="11">
        <v>703</v>
      </c>
      <c r="C628" t="str">
        <f t="shared" si="42"/>
        <v>3호</v>
      </c>
      <c r="D628" t="str">
        <f t="shared" si="44"/>
        <v>7</v>
      </c>
      <c r="E628" t="str">
        <f t="shared" si="43"/>
        <v>2133호7</v>
      </c>
    </row>
    <row r="629" spans="1:5" ht="16.5" customHeight="1" x14ac:dyDescent="0.4">
      <c r="A629">
        <v>213</v>
      </c>
      <c r="B629" s="11">
        <v>704</v>
      </c>
      <c r="C629" t="str">
        <f t="shared" si="42"/>
        <v>4호</v>
      </c>
      <c r="D629" t="str">
        <f t="shared" si="44"/>
        <v>7</v>
      </c>
      <c r="E629" t="str">
        <f t="shared" si="43"/>
        <v>2134호7</v>
      </c>
    </row>
    <row r="630" spans="1:5" ht="16.5" customHeight="1" x14ac:dyDescent="0.4">
      <c r="A630">
        <v>213</v>
      </c>
      <c r="B630" s="11">
        <v>705</v>
      </c>
      <c r="C630" t="str">
        <f t="shared" si="42"/>
        <v>5호</v>
      </c>
      <c r="D630" t="str">
        <f t="shared" si="44"/>
        <v>7</v>
      </c>
      <c r="E630" t="str">
        <f t="shared" si="43"/>
        <v>2135호7</v>
      </c>
    </row>
    <row r="631" spans="1:5" ht="16.5" customHeight="1" x14ac:dyDescent="0.4">
      <c r="A631">
        <v>213</v>
      </c>
      <c r="B631" s="11">
        <v>801</v>
      </c>
      <c r="C631" t="str">
        <f t="shared" si="42"/>
        <v>1호</v>
      </c>
      <c r="D631" t="str">
        <f t="shared" si="44"/>
        <v>8</v>
      </c>
      <c r="E631" t="str">
        <f t="shared" si="43"/>
        <v>2131호8</v>
      </c>
    </row>
    <row r="632" spans="1:5" ht="16.5" customHeight="1" x14ac:dyDescent="0.4">
      <c r="A632">
        <v>213</v>
      </c>
      <c r="B632" s="11">
        <v>802</v>
      </c>
      <c r="C632" t="str">
        <f t="shared" si="42"/>
        <v>2호</v>
      </c>
      <c r="D632" t="str">
        <f t="shared" si="44"/>
        <v>8</v>
      </c>
      <c r="E632" t="str">
        <f t="shared" si="43"/>
        <v>2132호8</v>
      </c>
    </row>
    <row r="633" spans="1:5" ht="16.5" customHeight="1" x14ac:dyDescent="0.4">
      <c r="A633">
        <v>213</v>
      </c>
      <c r="B633" s="11">
        <v>803</v>
      </c>
      <c r="C633" t="str">
        <f t="shared" si="42"/>
        <v>3호</v>
      </c>
      <c r="D633" t="str">
        <f t="shared" si="44"/>
        <v>8</v>
      </c>
      <c r="E633" t="str">
        <f t="shared" si="43"/>
        <v>2133호8</v>
      </c>
    </row>
    <row r="634" spans="1:5" ht="16.5" customHeight="1" x14ac:dyDescent="0.4">
      <c r="A634">
        <v>213</v>
      </c>
      <c r="B634" s="24">
        <v>804</v>
      </c>
      <c r="C634" t="str">
        <f t="shared" si="42"/>
        <v>4호</v>
      </c>
      <c r="D634" t="str">
        <f t="shared" si="44"/>
        <v>8</v>
      </c>
      <c r="E634" t="str">
        <f t="shared" si="43"/>
        <v>2134호8</v>
      </c>
    </row>
    <row r="635" spans="1:5" ht="16.5" customHeight="1" x14ac:dyDescent="0.4">
      <c r="A635">
        <v>213</v>
      </c>
      <c r="B635" s="11">
        <v>805</v>
      </c>
      <c r="C635" t="str">
        <f t="shared" si="42"/>
        <v>5호</v>
      </c>
      <c r="D635" t="str">
        <f t="shared" si="44"/>
        <v>8</v>
      </c>
      <c r="E635" t="str">
        <f t="shared" si="43"/>
        <v>2135호8</v>
      </c>
    </row>
    <row r="636" spans="1:5" ht="16.5" customHeight="1" x14ac:dyDescent="0.4">
      <c r="A636">
        <v>213</v>
      </c>
      <c r="B636" s="11">
        <v>901</v>
      </c>
      <c r="C636" t="str">
        <f t="shared" si="42"/>
        <v>1호</v>
      </c>
      <c r="D636" t="str">
        <f t="shared" si="44"/>
        <v>9</v>
      </c>
      <c r="E636" t="str">
        <f t="shared" si="43"/>
        <v>2131호9</v>
      </c>
    </row>
    <row r="637" spans="1:5" ht="16.5" customHeight="1" x14ac:dyDescent="0.4">
      <c r="A637">
        <v>213</v>
      </c>
      <c r="B637" s="11">
        <v>902</v>
      </c>
      <c r="C637" t="str">
        <f t="shared" si="42"/>
        <v>2호</v>
      </c>
      <c r="D637" t="str">
        <f t="shared" si="44"/>
        <v>9</v>
      </c>
      <c r="E637" t="str">
        <f t="shared" si="43"/>
        <v>2132호9</v>
      </c>
    </row>
    <row r="638" spans="1:5" ht="16.5" customHeight="1" x14ac:dyDescent="0.4">
      <c r="A638">
        <v>213</v>
      </c>
      <c r="B638" s="11">
        <v>903</v>
      </c>
      <c r="C638" t="str">
        <f t="shared" si="42"/>
        <v>3호</v>
      </c>
      <c r="D638" t="str">
        <f t="shared" si="44"/>
        <v>9</v>
      </c>
      <c r="E638" t="str">
        <f t="shared" si="43"/>
        <v>2133호9</v>
      </c>
    </row>
    <row r="639" spans="1:5" ht="16.5" customHeight="1" x14ac:dyDescent="0.4">
      <c r="A639">
        <v>213</v>
      </c>
      <c r="B639" s="11">
        <v>904</v>
      </c>
      <c r="C639" t="str">
        <f t="shared" si="42"/>
        <v>4호</v>
      </c>
      <c r="D639" t="str">
        <f t="shared" si="44"/>
        <v>9</v>
      </c>
      <c r="E639" t="str">
        <f t="shared" si="43"/>
        <v>2134호9</v>
      </c>
    </row>
    <row r="640" spans="1:5" ht="16.5" customHeight="1" x14ac:dyDescent="0.4">
      <c r="A640">
        <v>213</v>
      </c>
      <c r="B640" s="11">
        <v>905</v>
      </c>
      <c r="C640" t="str">
        <f t="shared" si="42"/>
        <v>5호</v>
      </c>
      <c r="D640" t="str">
        <f t="shared" si="44"/>
        <v>9</v>
      </c>
      <c r="E640" t="str">
        <f t="shared" si="43"/>
        <v>2135호9</v>
      </c>
    </row>
    <row r="641" spans="1:5" ht="16.5" customHeight="1" x14ac:dyDescent="0.4">
      <c r="A641">
        <v>213</v>
      </c>
      <c r="B641" s="11">
        <v>1001</v>
      </c>
      <c r="C641" t="str">
        <f t="shared" si="42"/>
        <v>1호</v>
      </c>
      <c r="D641" t="str">
        <f t="shared" ref="D641:D662" si="45">LEFT(B641,2)</f>
        <v>10</v>
      </c>
      <c r="E641" t="str">
        <f t="shared" si="43"/>
        <v>2131호10</v>
      </c>
    </row>
    <row r="642" spans="1:5" ht="16.5" customHeight="1" x14ac:dyDescent="0.4">
      <c r="A642">
        <v>213</v>
      </c>
      <c r="B642" s="11">
        <v>1002</v>
      </c>
      <c r="C642" t="str">
        <f t="shared" si="42"/>
        <v>2호</v>
      </c>
      <c r="D642" t="str">
        <f t="shared" si="45"/>
        <v>10</v>
      </c>
      <c r="E642" t="str">
        <f t="shared" si="43"/>
        <v>2132호10</v>
      </c>
    </row>
    <row r="643" spans="1:5" ht="16.5" customHeight="1" x14ac:dyDescent="0.4">
      <c r="A643">
        <v>213</v>
      </c>
      <c r="B643" s="11">
        <v>1003</v>
      </c>
      <c r="C643" t="str">
        <f t="shared" si="42"/>
        <v>3호</v>
      </c>
      <c r="D643" t="str">
        <f t="shared" si="45"/>
        <v>10</v>
      </c>
      <c r="E643" t="str">
        <f t="shared" si="43"/>
        <v>2133호10</v>
      </c>
    </row>
    <row r="644" spans="1:5" ht="16.5" customHeight="1" x14ac:dyDescent="0.4">
      <c r="A644">
        <v>213</v>
      </c>
      <c r="B644" s="11">
        <v>1004</v>
      </c>
      <c r="C644" t="str">
        <f t="shared" ref="C644:C707" si="46">RIGHT(B644,1)&amp;"호"</f>
        <v>4호</v>
      </c>
      <c r="D644" t="str">
        <f t="shared" si="45"/>
        <v>10</v>
      </c>
      <c r="E644" t="str">
        <f t="shared" ref="E644:E707" si="47">A644&amp;C644&amp;D644</f>
        <v>2134호10</v>
      </c>
    </row>
    <row r="645" spans="1:5" ht="16.5" customHeight="1" x14ac:dyDescent="0.4">
      <c r="A645">
        <v>213</v>
      </c>
      <c r="B645" s="11">
        <v>1005</v>
      </c>
      <c r="C645" t="str">
        <f t="shared" si="46"/>
        <v>5호</v>
      </c>
      <c r="D645" t="str">
        <f t="shared" si="45"/>
        <v>10</v>
      </c>
      <c r="E645" t="str">
        <f t="shared" si="47"/>
        <v>2135호10</v>
      </c>
    </row>
    <row r="646" spans="1:5" ht="16.5" customHeight="1" x14ac:dyDescent="0.4">
      <c r="A646">
        <v>213</v>
      </c>
      <c r="B646" s="11">
        <v>1101</v>
      </c>
      <c r="C646" t="str">
        <f t="shared" si="46"/>
        <v>1호</v>
      </c>
      <c r="D646" t="str">
        <f t="shared" si="45"/>
        <v>11</v>
      </c>
      <c r="E646" t="str">
        <f t="shared" si="47"/>
        <v>2131호11</v>
      </c>
    </row>
    <row r="647" spans="1:5" ht="16.5" customHeight="1" x14ac:dyDescent="0.4">
      <c r="A647">
        <v>213</v>
      </c>
      <c r="B647" s="24">
        <v>1102</v>
      </c>
      <c r="C647" t="str">
        <f t="shared" si="46"/>
        <v>2호</v>
      </c>
      <c r="D647" t="str">
        <f t="shared" si="45"/>
        <v>11</v>
      </c>
      <c r="E647" t="str">
        <f t="shared" si="47"/>
        <v>2132호11</v>
      </c>
    </row>
    <row r="648" spans="1:5" ht="16.5" customHeight="1" x14ac:dyDescent="0.4">
      <c r="A648">
        <v>213</v>
      </c>
      <c r="B648" s="11">
        <v>1103</v>
      </c>
      <c r="C648" t="str">
        <f t="shared" si="46"/>
        <v>3호</v>
      </c>
      <c r="D648" t="str">
        <f t="shared" si="45"/>
        <v>11</v>
      </c>
      <c r="E648" t="str">
        <f t="shared" si="47"/>
        <v>2133호11</v>
      </c>
    </row>
    <row r="649" spans="1:5" ht="16.5" customHeight="1" x14ac:dyDescent="0.4">
      <c r="A649">
        <v>213</v>
      </c>
      <c r="B649" s="11">
        <v>1104</v>
      </c>
      <c r="C649" t="str">
        <f t="shared" si="46"/>
        <v>4호</v>
      </c>
      <c r="D649" t="str">
        <f t="shared" si="45"/>
        <v>11</v>
      </c>
      <c r="E649" t="str">
        <f t="shared" si="47"/>
        <v>2134호11</v>
      </c>
    </row>
    <row r="650" spans="1:5" ht="16.5" customHeight="1" x14ac:dyDescent="0.4">
      <c r="A650">
        <v>213</v>
      </c>
      <c r="B650" s="11">
        <v>1105</v>
      </c>
      <c r="C650" t="str">
        <f t="shared" si="46"/>
        <v>5호</v>
      </c>
      <c r="D650" t="str">
        <f t="shared" si="45"/>
        <v>11</v>
      </c>
      <c r="E650" t="str">
        <f t="shared" si="47"/>
        <v>2135호11</v>
      </c>
    </row>
    <row r="651" spans="1:5" ht="16.5" customHeight="1" x14ac:dyDescent="0.4">
      <c r="A651">
        <v>213</v>
      </c>
      <c r="B651" s="11">
        <v>1201</v>
      </c>
      <c r="C651" t="str">
        <f t="shared" si="46"/>
        <v>1호</v>
      </c>
      <c r="D651" t="str">
        <f t="shared" si="45"/>
        <v>12</v>
      </c>
      <c r="E651" t="str">
        <f t="shared" si="47"/>
        <v>2131호12</v>
      </c>
    </row>
    <row r="652" spans="1:5" ht="16.5" customHeight="1" x14ac:dyDescent="0.4">
      <c r="A652">
        <v>213</v>
      </c>
      <c r="B652" s="11">
        <v>1202</v>
      </c>
      <c r="C652" t="str">
        <f t="shared" si="46"/>
        <v>2호</v>
      </c>
      <c r="D652" t="str">
        <f t="shared" si="45"/>
        <v>12</v>
      </c>
      <c r="E652" t="str">
        <f t="shared" si="47"/>
        <v>2132호12</v>
      </c>
    </row>
    <row r="653" spans="1:5" ht="16.5" customHeight="1" x14ac:dyDescent="0.4">
      <c r="A653">
        <v>213</v>
      </c>
      <c r="B653" s="11">
        <v>1203</v>
      </c>
      <c r="C653" t="str">
        <f t="shared" si="46"/>
        <v>3호</v>
      </c>
      <c r="D653" t="str">
        <f t="shared" si="45"/>
        <v>12</v>
      </c>
      <c r="E653" t="str">
        <f t="shared" si="47"/>
        <v>2133호12</v>
      </c>
    </row>
    <row r="654" spans="1:5" ht="16.5" customHeight="1" x14ac:dyDescent="0.4">
      <c r="A654">
        <v>213</v>
      </c>
      <c r="B654" s="11">
        <v>1204</v>
      </c>
      <c r="C654" t="str">
        <f t="shared" si="46"/>
        <v>4호</v>
      </c>
      <c r="D654" t="str">
        <f t="shared" si="45"/>
        <v>12</v>
      </c>
      <c r="E654" t="str">
        <f t="shared" si="47"/>
        <v>2134호12</v>
      </c>
    </row>
    <row r="655" spans="1:5" ht="16.5" customHeight="1" x14ac:dyDescent="0.4">
      <c r="A655">
        <v>213</v>
      </c>
      <c r="B655" s="11">
        <v>1205</v>
      </c>
      <c r="C655" t="str">
        <f t="shared" si="46"/>
        <v>5호</v>
      </c>
      <c r="D655" t="str">
        <f t="shared" si="45"/>
        <v>12</v>
      </c>
      <c r="E655" t="str">
        <f t="shared" si="47"/>
        <v>2135호12</v>
      </c>
    </row>
    <row r="656" spans="1:5" ht="16.5" customHeight="1" x14ac:dyDescent="0.4">
      <c r="A656">
        <v>213</v>
      </c>
      <c r="B656" s="11">
        <v>1301</v>
      </c>
      <c r="C656" t="str">
        <f t="shared" si="46"/>
        <v>1호</v>
      </c>
      <c r="D656" t="str">
        <f t="shared" si="45"/>
        <v>13</v>
      </c>
      <c r="E656" t="str">
        <f t="shared" si="47"/>
        <v>2131호13</v>
      </c>
    </row>
    <row r="657" spans="1:5" ht="16.5" customHeight="1" x14ac:dyDescent="0.4">
      <c r="A657">
        <v>213</v>
      </c>
      <c r="B657" s="11">
        <v>1302</v>
      </c>
      <c r="C657" t="str">
        <f t="shared" si="46"/>
        <v>2호</v>
      </c>
      <c r="D657" t="str">
        <f t="shared" si="45"/>
        <v>13</v>
      </c>
      <c r="E657" t="str">
        <f t="shared" si="47"/>
        <v>2132호13</v>
      </c>
    </row>
    <row r="658" spans="1:5" ht="16.5" customHeight="1" x14ac:dyDescent="0.4">
      <c r="A658">
        <v>213</v>
      </c>
      <c r="B658" s="11">
        <v>1303</v>
      </c>
      <c r="C658" t="str">
        <f t="shared" si="46"/>
        <v>3호</v>
      </c>
      <c r="D658" t="str">
        <f t="shared" si="45"/>
        <v>13</v>
      </c>
      <c r="E658" t="str">
        <f t="shared" si="47"/>
        <v>2133호13</v>
      </c>
    </row>
    <row r="659" spans="1:5" ht="16.5" customHeight="1" x14ac:dyDescent="0.4">
      <c r="A659">
        <v>213</v>
      </c>
      <c r="B659" s="11">
        <v>1304</v>
      </c>
      <c r="C659" t="str">
        <f t="shared" si="46"/>
        <v>4호</v>
      </c>
      <c r="D659" t="str">
        <f t="shared" si="45"/>
        <v>13</v>
      </c>
      <c r="E659" t="str">
        <f t="shared" si="47"/>
        <v>2134호13</v>
      </c>
    </row>
    <row r="660" spans="1:5" ht="16.5" customHeight="1" x14ac:dyDescent="0.4">
      <c r="A660">
        <v>213</v>
      </c>
      <c r="B660" s="11">
        <v>1305</v>
      </c>
      <c r="C660" t="str">
        <f t="shared" si="46"/>
        <v>5호</v>
      </c>
      <c r="D660" t="str">
        <f t="shared" si="45"/>
        <v>13</v>
      </c>
      <c r="E660" t="str">
        <f t="shared" si="47"/>
        <v>2135호13</v>
      </c>
    </row>
    <row r="661" spans="1:5" ht="16.5" customHeight="1" x14ac:dyDescent="0.4">
      <c r="A661">
        <v>213</v>
      </c>
      <c r="B661" s="24">
        <v>1403</v>
      </c>
      <c r="C661" t="str">
        <f t="shared" si="46"/>
        <v>3호</v>
      </c>
      <c r="D661" t="str">
        <f t="shared" si="45"/>
        <v>14</v>
      </c>
      <c r="E661" t="str">
        <f t="shared" si="47"/>
        <v>2133호14</v>
      </c>
    </row>
    <row r="662" spans="1:5" ht="16.5" customHeight="1" x14ac:dyDescent="0.4">
      <c r="A662">
        <v>213</v>
      </c>
      <c r="B662" s="9">
        <v>1405</v>
      </c>
      <c r="C662" t="str">
        <f t="shared" si="46"/>
        <v>5호</v>
      </c>
      <c r="D662" t="str">
        <f t="shared" si="45"/>
        <v>14</v>
      </c>
      <c r="E662" t="str">
        <f t="shared" si="47"/>
        <v>2135호14</v>
      </c>
    </row>
    <row r="663" spans="1:5" ht="16.5" customHeight="1" x14ac:dyDescent="0.4">
      <c r="A663">
        <v>214</v>
      </c>
      <c r="B663" s="9">
        <v>101</v>
      </c>
      <c r="C663" t="str">
        <f t="shared" si="46"/>
        <v>1호</v>
      </c>
      <c r="D663" t="str">
        <f t="shared" ref="D663:D707" si="48">LEFT(B663,1)</f>
        <v>1</v>
      </c>
      <c r="E663" t="str">
        <f t="shared" si="47"/>
        <v>2141호1</v>
      </c>
    </row>
    <row r="664" spans="1:5" ht="16.5" customHeight="1" x14ac:dyDescent="0.4">
      <c r="A664">
        <v>214</v>
      </c>
      <c r="B664" s="9">
        <v>102</v>
      </c>
      <c r="C664" t="str">
        <f t="shared" si="46"/>
        <v>2호</v>
      </c>
      <c r="D664" t="str">
        <f t="shared" si="48"/>
        <v>1</v>
      </c>
      <c r="E664" t="str">
        <f t="shared" si="47"/>
        <v>2142호1</v>
      </c>
    </row>
    <row r="665" spans="1:5" ht="16.5" customHeight="1" x14ac:dyDescent="0.4">
      <c r="A665">
        <v>214</v>
      </c>
      <c r="B665" s="9">
        <v>103</v>
      </c>
      <c r="C665" t="str">
        <f t="shared" si="46"/>
        <v>3호</v>
      </c>
      <c r="D665" t="str">
        <f t="shared" si="48"/>
        <v>1</v>
      </c>
      <c r="E665" t="str">
        <f t="shared" si="47"/>
        <v>2143호1</v>
      </c>
    </row>
    <row r="666" spans="1:5" ht="16.5" customHeight="1" x14ac:dyDescent="0.4">
      <c r="A666">
        <v>214</v>
      </c>
      <c r="B666" s="9">
        <v>104</v>
      </c>
      <c r="C666" t="str">
        <f t="shared" si="46"/>
        <v>4호</v>
      </c>
      <c r="D666" t="str">
        <f t="shared" si="48"/>
        <v>1</v>
      </c>
      <c r="E666" t="str">
        <f t="shared" si="47"/>
        <v>2144호1</v>
      </c>
    </row>
    <row r="667" spans="1:5" ht="16.5" customHeight="1" x14ac:dyDescent="0.4">
      <c r="A667">
        <v>214</v>
      </c>
      <c r="B667" s="9">
        <v>105</v>
      </c>
      <c r="C667" t="str">
        <f t="shared" si="46"/>
        <v>5호</v>
      </c>
      <c r="D667" t="str">
        <f t="shared" si="48"/>
        <v>1</v>
      </c>
      <c r="E667" t="str">
        <f t="shared" si="47"/>
        <v>2145호1</v>
      </c>
    </row>
    <row r="668" spans="1:5" ht="16.5" customHeight="1" x14ac:dyDescent="0.4">
      <c r="A668">
        <v>214</v>
      </c>
      <c r="B668" s="9">
        <v>201</v>
      </c>
      <c r="C668" t="str">
        <f t="shared" si="46"/>
        <v>1호</v>
      </c>
      <c r="D668" t="str">
        <f t="shared" si="48"/>
        <v>2</v>
      </c>
      <c r="E668" t="str">
        <f t="shared" si="47"/>
        <v>2141호2</v>
      </c>
    </row>
    <row r="669" spans="1:5" ht="16.5" customHeight="1" x14ac:dyDescent="0.4">
      <c r="A669">
        <v>214</v>
      </c>
      <c r="B669" s="9">
        <v>202</v>
      </c>
      <c r="C669" t="str">
        <f t="shared" si="46"/>
        <v>2호</v>
      </c>
      <c r="D669" t="str">
        <f t="shared" si="48"/>
        <v>2</v>
      </c>
      <c r="E669" t="str">
        <f t="shared" si="47"/>
        <v>2142호2</v>
      </c>
    </row>
    <row r="670" spans="1:5" ht="16.5" customHeight="1" x14ac:dyDescent="0.4">
      <c r="A670">
        <v>214</v>
      </c>
      <c r="B670" s="9">
        <v>203</v>
      </c>
      <c r="C670" t="str">
        <f t="shared" si="46"/>
        <v>3호</v>
      </c>
      <c r="D670" t="str">
        <f t="shared" si="48"/>
        <v>2</v>
      </c>
      <c r="E670" t="str">
        <f t="shared" si="47"/>
        <v>2143호2</v>
      </c>
    </row>
    <row r="671" spans="1:5" ht="16.5" customHeight="1" x14ac:dyDescent="0.4">
      <c r="A671">
        <v>214</v>
      </c>
      <c r="B671" s="9">
        <v>204</v>
      </c>
      <c r="C671" t="str">
        <f t="shared" si="46"/>
        <v>4호</v>
      </c>
      <c r="D671" t="str">
        <f t="shared" si="48"/>
        <v>2</v>
      </c>
      <c r="E671" t="str">
        <f t="shared" si="47"/>
        <v>2144호2</v>
      </c>
    </row>
    <row r="672" spans="1:5" ht="16.5" customHeight="1" x14ac:dyDescent="0.4">
      <c r="A672">
        <v>214</v>
      </c>
      <c r="B672" s="9">
        <v>205</v>
      </c>
      <c r="C672" t="str">
        <f t="shared" si="46"/>
        <v>5호</v>
      </c>
      <c r="D672" t="str">
        <f t="shared" si="48"/>
        <v>2</v>
      </c>
      <c r="E672" t="str">
        <f t="shared" si="47"/>
        <v>2145호2</v>
      </c>
    </row>
    <row r="673" spans="1:5" ht="16.5" customHeight="1" x14ac:dyDescent="0.4">
      <c r="A673">
        <v>214</v>
      </c>
      <c r="B673" s="9">
        <v>301</v>
      </c>
      <c r="C673" t="str">
        <f t="shared" si="46"/>
        <v>1호</v>
      </c>
      <c r="D673" t="str">
        <f t="shared" si="48"/>
        <v>3</v>
      </c>
      <c r="E673" t="str">
        <f t="shared" si="47"/>
        <v>2141호3</v>
      </c>
    </row>
    <row r="674" spans="1:5" ht="16.5" customHeight="1" x14ac:dyDescent="0.4">
      <c r="A674">
        <v>214</v>
      </c>
      <c r="B674" s="9">
        <v>302</v>
      </c>
      <c r="C674" t="str">
        <f t="shared" si="46"/>
        <v>2호</v>
      </c>
      <c r="D674" t="str">
        <f t="shared" si="48"/>
        <v>3</v>
      </c>
      <c r="E674" t="str">
        <f t="shared" si="47"/>
        <v>2142호3</v>
      </c>
    </row>
    <row r="675" spans="1:5" ht="16.5" customHeight="1" x14ac:dyDescent="0.4">
      <c r="A675">
        <v>214</v>
      </c>
      <c r="B675" s="22">
        <v>303</v>
      </c>
      <c r="C675" t="str">
        <f t="shared" si="46"/>
        <v>3호</v>
      </c>
      <c r="D675" t="str">
        <f t="shared" si="48"/>
        <v>3</v>
      </c>
      <c r="E675" t="str">
        <f t="shared" si="47"/>
        <v>2143호3</v>
      </c>
    </row>
    <row r="676" spans="1:5" ht="16.5" customHeight="1" x14ac:dyDescent="0.4">
      <c r="A676">
        <v>214</v>
      </c>
      <c r="B676" s="11">
        <v>304</v>
      </c>
      <c r="C676" t="str">
        <f t="shared" si="46"/>
        <v>4호</v>
      </c>
      <c r="D676" t="str">
        <f t="shared" si="48"/>
        <v>3</v>
      </c>
      <c r="E676" t="str">
        <f t="shared" si="47"/>
        <v>2144호3</v>
      </c>
    </row>
    <row r="677" spans="1:5" ht="16.5" customHeight="1" x14ac:dyDescent="0.4">
      <c r="A677">
        <v>214</v>
      </c>
      <c r="B677" s="11">
        <v>305</v>
      </c>
      <c r="C677" t="str">
        <f t="shared" si="46"/>
        <v>5호</v>
      </c>
      <c r="D677" t="str">
        <f t="shared" si="48"/>
        <v>3</v>
      </c>
      <c r="E677" t="str">
        <f t="shared" si="47"/>
        <v>2145호3</v>
      </c>
    </row>
    <row r="678" spans="1:5" ht="16.5" customHeight="1" x14ac:dyDescent="0.4">
      <c r="A678">
        <v>214</v>
      </c>
      <c r="B678" s="11">
        <v>401</v>
      </c>
      <c r="C678" t="str">
        <f t="shared" si="46"/>
        <v>1호</v>
      </c>
      <c r="D678" t="str">
        <f t="shared" si="48"/>
        <v>4</v>
      </c>
      <c r="E678" t="str">
        <f t="shared" si="47"/>
        <v>2141호4</v>
      </c>
    </row>
    <row r="679" spans="1:5" ht="16.5" customHeight="1" x14ac:dyDescent="0.4">
      <c r="A679">
        <v>214</v>
      </c>
      <c r="B679" s="11">
        <v>402</v>
      </c>
      <c r="C679" t="str">
        <f t="shared" si="46"/>
        <v>2호</v>
      </c>
      <c r="D679" t="str">
        <f t="shared" si="48"/>
        <v>4</v>
      </c>
      <c r="E679" t="str">
        <f t="shared" si="47"/>
        <v>2142호4</v>
      </c>
    </row>
    <row r="680" spans="1:5" ht="16.5" customHeight="1" x14ac:dyDescent="0.4">
      <c r="A680">
        <v>214</v>
      </c>
      <c r="B680" s="11">
        <v>403</v>
      </c>
      <c r="C680" t="str">
        <f t="shared" si="46"/>
        <v>3호</v>
      </c>
      <c r="D680" t="str">
        <f t="shared" si="48"/>
        <v>4</v>
      </c>
      <c r="E680" t="str">
        <f t="shared" si="47"/>
        <v>2143호4</v>
      </c>
    </row>
    <row r="681" spans="1:5" ht="16.5" customHeight="1" x14ac:dyDescent="0.4">
      <c r="A681">
        <v>214</v>
      </c>
      <c r="B681" s="11">
        <v>404</v>
      </c>
      <c r="C681" t="str">
        <f t="shared" si="46"/>
        <v>4호</v>
      </c>
      <c r="D681" t="str">
        <f t="shared" si="48"/>
        <v>4</v>
      </c>
      <c r="E681" t="str">
        <f t="shared" si="47"/>
        <v>2144호4</v>
      </c>
    </row>
    <row r="682" spans="1:5" ht="16.5" customHeight="1" x14ac:dyDescent="0.4">
      <c r="A682">
        <v>214</v>
      </c>
      <c r="B682" s="11">
        <v>405</v>
      </c>
      <c r="C682" t="str">
        <f t="shared" si="46"/>
        <v>5호</v>
      </c>
      <c r="D682" t="str">
        <f t="shared" si="48"/>
        <v>4</v>
      </c>
      <c r="E682" t="str">
        <f t="shared" si="47"/>
        <v>2145호4</v>
      </c>
    </row>
    <row r="683" spans="1:5" ht="16.5" customHeight="1" x14ac:dyDescent="0.4">
      <c r="A683">
        <v>214</v>
      </c>
      <c r="B683" s="11">
        <v>501</v>
      </c>
      <c r="C683" t="str">
        <f t="shared" si="46"/>
        <v>1호</v>
      </c>
      <c r="D683" t="str">
        <f t="shared" si="48"/>
        <v>5</v>
      </c>
      <c r="E683" t="str">
        <f t="shared" si="47"/>
        <v>2141호5</v>
      </c>
    </row>
    <row r="684" spans="1:5" ht="16.5" customHeight="1" x14ac:dyDescent="0.4">
      <c r="A684">
        <v>214</v>
      </c>
      <c r="B684" s="11">
        <v>502</v>
      </c>
      <c r="C684" t="str">
        <f t="shared" si="46"/>
        <v>2호</v>
      </c>
      <c r="D684" t="str">
        <f t="shared" si="48"/>
        <v>5</v>
      </c>
      <c r="E684" t="str">
        <f t="shared" si="47"/>
        <v>2142호5</v>
      </c>
    </row>
    <row r="685" spans="1:5" ht="16.5" customHeight="1" x14ac:dyDescent="0.4">
      <c r="A685">
        <v>214</v>
      </c>
      <c r="B685" s="11">
        <v>503</v>
      </c>
      <c r="C685" t="str">
        <f t="shared" si="46"/>
        <v>3호</v>
      </c>
      <c r="D685" t="str">
        <f t="shared" si="48"/>
        <v>5</v>
      </c>
      <c r="E685" t="str">
        <f t="shared" si="47"/>
        <v>2143호5</v>
      </c>
    </row>
    <row r="686" spans="1:5" ht="16.5" customHeight="1" x14ac:dyDescent="0.4">
      <c r="A686">
        <v>214</v>
      </c>
      <c r="B686" s="11">
        <v>504</v>
      </c>
      <c r="C686" t="str">
        <f t="shared" si="46"/>
        <v>4호</v>
      </c>
      <c r="D686" t="str">
        <f t="shared" si="48"/>
        <v>5</v>
      </c>
      <c r="E686" t="str">
        <f t="shared" si="47"/>
        <v>2144호5</v>
      </c>
    </row>
    <row r="687" spans="1:5" ht="16.5" customHeight="1" x14ac:dyDescent="0.4">
      <c r="A687">
        <v>214</v>
      </c>
      <c r="B687" s="11">
        <v>505</v>
      </c>
      <c r="C687" t="str">
        <f t="shared" si="46"/>
        <v>5호</v>
      </c>
      <c r="D687" t="str">
        <f t="shared" si="48"/>
        <v>5</v>
      </c>
      <c r="E687" t="str">
        <f t="shared" si="47"/>
        <v>2145호5</v>
      </c>
    </row>
    <row r="688" spans="1:5" ht="16.5" customHeight="1" x14ac:dyDescent="0.4">
      <c r="A688">
        <v>214</v>
      </c>
      <c r="B688" s="11">
        <v>601</v>
      </c>
      <c r="C688" t="str">
        <f t="shared" si="46"/>
        <v>1호</v>
      </c>
      <c r="D688" t="str">
        <f t="shared" si="48"/>
        <v>6</v>
      </c>
      <c r="E688" t="str">
        <f t="shared" si="47"/>
        <v>2141호6</v>
      </c>
    </row>
    <row r="689" spans="1:5" ht="16.5" customHeight="1" x14ac:dyDescent="0.4">
      <c r="A689">
        <v>214</v>
      </c>
      <c r="B689" s="24">
        <v>602</v>
      </c>
      <c r="C689" t="str">
        <f t="shared" si="46"/>
        <v>2호</v>
      </c>
      <c r="D689" t="str">
        <f t="shared" si="48"/>
        <v>6</v>
      </c>
      <c r="E689" t="str">
        <f t="shared" si="47"/>
        <v>2142호6</v>
      </c>
    </row>
    <row r="690" spans="1:5" ht="16.5" customHeight="1" x14ac:dyDescent="0.4">
      <c r="A690">
        <v>214</v>
      </c>
      <c r="B690" s="11">
        <v>603</v>
      </c>
      <c r="C690" t="str">
        <f t="shared" si="46"/>
        <v>3호</v>
      </c>
      <c r="D690" t="str">
        <f t="shared" si="48"/>
        <v>6</v>
      </c>
      <c r="E690" t="str">
        <f t="shared" si="47"/>
        <v>2143호6</v>
      </c>
    </row>
    <row r="691" spans="1:5" ht="16.5" customHeight="1" x14ac:dyDescent="0.4">
      <c r="A691">
        <v>214</v>
      </c>
      <c r="B691" s="11">
        <v>604</v>
      </c>
      <c r="C691" t="str">
        <f t="shared" si="46"/>
        <v>4호</v>
      </c>
      <c r="D691" t="str">
        <f t="shared" si="48"/>
        <v>6</v>
      </c>
      <c r="E691" t="str">
        <f t="shared" si="47"/>
        <v>2144호6</v>
      </c>
    </row>
    <row r="692" spans="1:5" ht="16.5" customHeight="1" x14ac:dyDescent="0.4">
      <c r="A692">
        <v>214</v>
      </c>
      <c r="B692" s="11">
        <v>605</v>
      </c>
      <c r="C692" t="str">
        <f t="shared" si="46"/>
        <v>5호</v>
      </c>
      <c r="D692" t="str">
        <f t="shared" si="48"/>
        <v>6</v>
      </c>
      <c r="E692" t="str">
        <f t="shared" si="47"/>
        <v>2145호6</v>
      </c>
    </row>
    <row r="693" spans="1:5" ht="16.5" customHeight="1" x14ac:dyDescent="0.4">
      <c r="A693">
        <v>214</v>
      </c>
      <c r="B693" s="11">
        <v>701</v>
      </c>
      <c r="C693" t="str">
        <f t="shared" si="46"/>
        <v>1호</v>
      </c>
      <c r="D693" t="str">
        <f t="shared" si="48"/>
        <v>7</v>
      </c>
      <c r="E693" t="str">
        <f t="shared" si="47"/>
        <v>2141호7</v>
      </c>
    </row>
    <row r="694" spans="1:5" ht="16.5" customHeight="1" x14ac:dyDescent="0.4">
      <c r="A694">
        <v>214</v>
      </c>
      <c r="B694" s="11">
        <v>702</v>
      </c>
      <c r="C694" t="str">
        <f t="shared" si="46"/>
        <v>2호</v>
      </c>
      <c r="D694" t="str">
        <f t="shared" si="48"/>
        <v>7</v>
      </c>
      <c r="E694" t="str">
        <f t="shared" si="47"/>
        <v>2142호7</v>
      </c>
    </row>
    <row r="695" spans="1:5" ht="16.5" customHeight="1" x14ac:dyDescent="0.4">
      <c r="A695">
        <v>214</v>
      </c>
      <c r="B695" s="11">
        <v>703</v>
      </c>
      <c r="C695" t="str">
        <f t="shared" si="46"/>
        <v>3호</v>
      </c>
      <c r="D695" t="str">
        <f t="shared" si="48"/>
        <v>7</v>
      </c>
      <c r="E695" t="str">
        <f t="shared" si="47"/>
        <v>2143호7</v>
      </c>
    </row>
    <row r="696" spans="1:5" ht="16.5" customHeight="1" x14ac:dyDescent="0.4">
      <c r="A696">
        <v>214</v>
      </c>
      <c r="B696" s="11">
        <v>704</v>
      </c>
      <c r="C696" t="str">
        <f t="shared" si="46"/>
        <v>4호</v>
      </c>
      <c r="D696" t="str">
        <f t="shared" si="48"/>
        <v>7</v>
      </c>
      <c r="E696" t="str">
        <f t="shared" si="47"/>
        <v>2144호7</v>
      </c>
    </row>
    <row r="697" spans="1:5" ht="16.5" customHeight="1" x14ac:dyDescent="0.4">
      <c r="A697">
        <v>214</v>
      </c>
      <c r="B697" s="11">
        <v>705</v>
      </c>
      <c r="C697" t="str">
        <f t="shared" si="46"/>
        <v>5호</v>
      </c>
      <c r="D697" t="str">
        <f t="shared" si="48"/>
        <v>7</v>
      </c>
      <c r="E697" t="str">
        <f t="shared" si="47"/>
        <v>2145호7</v>
      </c>
    </row>
    <row r="698" spans="1:5" ht="16.5" customHeight="1" x14ac:dyDescent="0.4">
      <c r="A698">
        <v>214</v>
      </c>
      <c r="B698" s="11">
        <v>801</v>
      </c>
      <c r="C698" t="str">
        <f t="shared" si="46"/>
        <v>1호</v>
      </c>
      <c r="D698" t="str">
        <f t="shared" si="48"/>
        <v>8</v>
      </c>
      <c r="E698" t="str">
        <f t="shared" si="47"/>
        <v>2141호8</v>
      </c>
    </row>
    <row r="699" spans="1:5" ht="16.5" customHeight="1" x14ac:dyDescent="0.4">
      <c r="A699">
        <v>214</v>
      </c>
      <c r="B699" s="11">
        <v>802</v>
      </c>
      <c r="C699" t="str">
        <f t="shared" si="46"/>
        <v>2호</v>
      </c>
      <c r="D699" t="str">
        <f t="shared" si="48"/>
        <v>8</v>
      </c>
      <c r="E699" t="str">
        <f t="shared" si="47"/>
        <v>2142호8</v>
      </c>
    </row>
    <row r="700" spans="1:5" ht="16.5" customHeight="1" x14ac:dyDescent="0.4">
      <c r="A700">
        <v>214</v>
      </c>
      <c r="B700" s="11">
        <v>803</v>
      </c>
      <c r="C700" t="str">
        <f t="shared" si="46"/>
        <v>3호</v>
      </c>
      <c r="D700" t="str">
        <f t="shared" si="48"/>
        <v>8</v>
      </c>
      <c r="E700" t="str">
        <f t="shared" si="47"/>
        <v>2143호8</v>
      </c>
    </row>
    <row r="701" spans="1:5" ht="16.5" customHeight="1" x14ac:dyDescent="0.4">
      <c r="A701">
        <v>214</v>
      </c>
      <c r="B701" s="11">
        <v>804</v>
      </c>
      <c r="C701" t="str">
        <f t="shared" si="46"/>
        <v>4호</v>
      </c>
      <c r="D701" t="str">
        <f t="shared" si="48"/>
        <v>8</v>
      </c>
      <c r="E701" t="str">
        <f t="shared" si="47"/>
        <v>2144호8</v>
      </c>
    </row>
    <row r="702" spans="1:5" ht="16.5" customHeight="1" x14ac:dyDescent="0.4">
      <c r="A702">
        <v>214</v>
      </c>
      <c r="B702" s="11">
        <v>805</v>
      </c>
      <c r="C702" t="str">
        <f t="shared" si="46"/>
        <v>5호</v>
      </c>
      <c r="D702" t="str">
        <f t="shared" si="48"/>
        <v>8</v>
      </c>
      <c r="E702" t="str">
        <f t="shared" si="47"/>
        <v>2145호8</v>
      </c>
    </row>
    <row r="703" spans="1:5" ht="16.5" customHeight="1" x14ac:dyDescent="0.4">
      <c r="A703">
        <v>214</v>
      </c>
      <c r="B703" s="24">
        <v>901</v>
      </c>
      <c r="C703" t="str">
        <f t="shared" si="46"/>
        <v>1호</v>
      </c>
      <c r="D703" t="str">
        <f t="shared" si="48"/>
        <v>9</v>
      </c>
      <c r="E703" t="str">
        <f t="shared" si="47"/>
        <v>2141호9</v>
      </c>
    </row>
    <row r="704" spans="1:5" ht="16.5" customHeight="1" x14ac:dyDescent="0.4">
      <c r="A704">
        <v>214</v>
      </c>
      <c r="B704" s="11">
        <v>902</v>
      </c>
      <c r="C704" t="str">
        <f t="shared" si="46"/>
        <v>2호</v>
      </c>
      <c r="D704" t="str">
        <f t="shared" si="48"/>
        <v>9</v>
      </c>
      <c r="E704" t="str">
        <f t="shared" si="47"/>
        <v>2142호9</v>
      </c>
    </row>
    <row r="705" spans="1:5" ht="16.5" customHeight="1" x14ac:dyDescent="0.4">
      <c r="A705">
        <v>214</v>
      </c>
      <c r="B705" s="11">
        <v>903</v>
      </c>
      <c r="C705" t="str">
        <f t="shared" si="46"/>
        <v>3호</v>
      </c>
      <c r="D705" t="str">
        <f t="shared" si="48"/>
        <v>9</v>
      </c>
      <c r="E705" t="str">
        <f t="shared" si="47"/>
        <v>2143호9</v>
      </c>
    </row>
    <row r="706" spans="1:5" ht="16.5" customHeight="1" x14ac:dyDescent="0.4">
      <c r="A706">
        <v>214</v>
      </c>
      <c r="B706" s="11">
        <v>904</v>
      </c>
      <c r="C706" t="str">
        <f t="shared" si="46"/>
        <v>4호</v>
      </c>
      <c r="D706" t="str">
        <f t="shared" si="48"/>
        <v>9</v>
      </c>
      <c r="E706" t="str">
        <f t="shared" si="47"/>
        <v>2144호9</v>
      </c>
    </row>
    <row r="707" spans="1:5" ht="16.5" customHeight="1" x14ac:dyDescent="0.4">
      <c r="A707">
        <v>214</v>
      </c>
      <c r="B707" s="11">
        <v>905</v>
      </c>
      <c r="C707" t="str">
        <f t="shared" si="46"/>
        <v>5호</v>
      </c>
      <c r="D707" t="str">
        <f t="shared" si="48"/>
        <v>9</v>
      </c>
      <c r="E707" t="str">
        <f t="shared" si="47"/>
        <v>2145호9</v>
      </c>
    </row>
    <row r="708" spans="1:5" ht="16.5" customHeight="1" x14ac:dyDescent="0.4">
      <c r="A708">
        <v>214</v>
      </c>
      <c r="B708" s="11">
        <v>1001</v>
      </c>
      <c r="C708" t="str">
        <f t="shared" ref="C708:C771" si="49">RIGHT(B708,1)&amp;"호"</f>
        <v>1호</v>
      </c>
      <c r="D708" t="str">
        <f t="shared" ref="D708:D732" si="50">LEFT(B708,2)</f>
        <v>10</v>
      </c>
      <c r="E708" t="str">
        <f t="shared" ref="E708:E771" si="51">A708&amp;C708&amp;D708</f>
        <v>2141호10</v>
      </c>
    </row>
    <row r="709" spans="1:5" ht="16.5" customHeight="1" x14ac:dyDescent="0.4">
      <c r="A709">
        <v>214</v>
      </c>
      <c r="B709" s="11">
        <v>1002</v>
      </c>
      <c r="C709" t="str">
        <f t="shared" si="49"/>
        <v>2호</v>
      </c>
      <c r="D709" t="str">
        <f t="shared" si="50"/>
        <v>10</v>
      </c>
      <c r="E709" t="str">
        <f t="shared" si="51"/>
        <v>2142호10</v>
      </c>
    </row>
    <row r="710" spans="1:5" ht="16.5" customHeight="1" x14ac:dyDescent="0.4">
      <c r="A710">
        <v>214</v>
      </c>
      <c r="B710" s="11">
        <v>1003</v>
      </c>
      <c r="C710" t="str">
        <f t="shared" si="49"/>
        <v>3호</v>
      </c>
      <c r="D710" t="str">
        <f t="shared" si="50"/>
        <v>10</v>
      </c>
      <c r="E710" t="str">
        <f t="shared" si="51"/>
        <v>2143호10</v>
      </c>
    </row>
    <row r="711" spans="1:5" ht="16.5" customHeight="1" x14ac:dyDescent="0.4">
      <c r="A711">
        <v>214</v>
      </c>
      <c r="B711" s="11">
        <v>1004</v>
      </c>
      <c r="C711" t="str">
        <f t="shared" si="49"/>
        <v>4호</v>
      </c>
      <c r="D711" t="str">
        <f t="shared" si="50"/>
        <v>10</v>
      </c>
      <c r="E711" t="str">
        <f t="shared" si="51"/>
        <v>2144호10</v>
      </c>
    </row>
    <row r="712" spans="1:5" ht="16.5" customHeight="1" x14ac:dyDescent="0.4">
      <c r="A712">
        <v>214</v>
      </c>
      <c r="B712" s="11">
        <v>1005</v>
      </c>
      <c r="C712" t="str">
        <f t="shared" si="49"/>
        <v>5호</v>
      </c>
      <c r="D712" t="str">
        <f t="shared" si="50"/>
        <v>10</v>
      </c>
      <c r="E712" t="str">
        <f t="shared" si="51"/>
        <v>2145호10</v>
      </c>
    </row>
    <row r="713" spans="1:5" ht="16.5" customHeight="1" x14ac:dyDescent="0.4">
      <c r="A713">
        <v>214</v>
      </c>
      <c r="B713" s="11">
        <v>1101</v>
      </c>
      <c r="C713" t="str">
        <f t="shared" si="49"/>
        <v>1호</v>
      </c>
      <c r="D713" t="str">
        <f t="shared" si="50"/>
        <v>11</v>
      </c>
      <c r="E713" t="str">
        <f t="shared" si="51"/>
        <v>2141호11</v>
      </c>
    </row>
    <row r="714" spans="1:5" ht="16.5" customHeight="1" x14ac:dyDescent="0.4">
      <c r="A714">
        <v>214</v>
      </c>
      <c r="B714" s="11">
        <v>1102</v>
      </c>
      <c r="C714" t="str">
        <f t="shared" si="49"/>
        <v>2호</v>
      </c>
      <c r="D714" t="str">
        <f t="shared" si="50"/>
        <v>11</v>
      </c>
      <c r="E714" t="str">
        <f t="shared" si="51"/>
        <v>2142호11</v>
      </c>
    </row>
    <row r="715" spans="1:5" ht="16.5" customHeight="1" x14ac:dyDescent="0.4">
      <c r="A715">
        <v>214</v>
      </c>
      <c r="B715" s="11">
        <v>1103</v>
      </c>
      <c r="C715" t="str">
        <f t="shared" si="49"/>
        <v>3호</v>
      </c>
      <c r="D715" t="str">
        <f t="shared" si="50"/>
        <v>11</v>
      </c>
      <c r="E715" t="str">
        <f t="shared" si="51"/>
        <v>2143호11</v>
      </c>
    </row>
    <row r="716" spans="1:5" ht="16.5" customHeight="1" x14ac:dyDescent="0.4">
      <c r="A716">
        <v>214</v>
      </c>
      <c r="B716" s="11">
        <v>1104</v>
      </c>
      <c r="C716" t="str">
        <f t="shared" si="49"/>
        <v>4호</v>
      </c>
      <c r="D716" t="str">
        <f t="shared" si="50"/>
        <v>11</v>
      </c>
      <c r="E716" t="str">
        <f t="shared" si="51"/>
        <v>2144호11</v>
      </c>
    </row>
    <row r="717" spans="1:5" ht="16.5" customHeight="1" x14ac:dyDescent="0.4">
      <c r="A717">
        <v>214</v>
      </c>
      <c r="B717" s="24">
        <v>1105</v>
      </c>
      <c r="C717" t="str">
        <f t="shared" si="49"/>
        <v>5호</v>
      </c>
      <c r="D717" t="str">
        <f t="shared" si="50"/>
        <v>11</v>
      </c>
      <c r="E717" t="str">
        <f t="shared" si="51"/>
        <v>2145호11</v>
      </c>
    </row>
    <row r="718" spans="1:5" ht="16.5" customHeight="1" x14ac:dyDescent="0.4">
      <c r="A718">
        <v>214</v>
      </c>
      <c r="B718" s="11">
        <v>1201</v>
      </c>
      <c r="C718" t="str">
        <f t="shared" si="49"/>
        <v>1호</v>
      </c>
      <c r="D718" t="str">
        <f t="shared" si="50"/>
        <v>12</v>
      </c>
      <c r="E718" t="str">
        <f t="shared" si="51"/>
        <v>2141호12</v>
      </c>
    </row>
    <row r="719" spans="1:5" ht="16.5" customHeight="1" x14ac:dyDescent="0.4">
      <c r="A719">
        <v>214</v>
      </c>
      <c r="B719" s="11">
        <v>1202</v>
      </c>
      <c r="C719" t="str">
        <f t="shared" si="49"/>
        <v>2호</v>
      </c>
      <c r="D719" t="str">
        <f t="shared" si="50"/>
        <v>12</v>
      </c>
      <c r="E719" t="str">
        <f t="shared" si="51"/>
        <v>2142호12</v>
      </c>
    </row>
    <row r="720" spans="1:5" ht="16.5" customHeight="1" x14ac:dyDescent="0.4">
      <c r="A720">
        <v>214</v>
      </c>
      <c r="B720" s="11">
        <v>1203</v>
      </c>
      <c r="C720" t="str">
        <f t="shared" si="49"/>
        <v>3호</v>
      </c>
      <c r="D720" t="str">
        <f t="shared" si="50"/>
        <v>12</v>
      </c>
      <c r="E720" t="str">
        <f t="shared" si="51"/>
        <v>2143호12</v>
      </c>
    </row>
    <row r="721" spans="1:5" ht="16.5" customHeight="1" x14ac:dyDescent="0.4">
      <c r="A721">
        <v>214</v>
      </c>
      <c r="B721" s="11">
        <v>1204</v>
      </c>
      <c r="C721" t="str">
        <f t="shared" si="49"/>
        <v>4호</v>
      </c>
      <c r="D721" t="str">
        <f t="shared" si="50"/>
        <v>12</v>
      </c>
      <c r="E721" t="str">
        <f t="shared" si="51"/>
        <v>2144호12</v>
      </c>
    </row>
    <row r="722" spans="1:5" ht="16.5" customHeight="1" x14ac:dyDescent="0.4">
      <c r="A722">
        <v>214</v>
      </c>
      <c r="B722" s="11">
        <v>1205</v>
      </c>
      <c r="C722" t="str">
        <f t="shared" si="49"/>
        <v>5호</v>
      </c>
      <c r="D722" t="str">
        <f t="shared" si="50"/>
        <v>12</v>
      </c>
      <c r="E722" t="str">
        <f t="shared" si="51"/>
        <v>2145호12</v>
      </c>
    </row>
    <row r="723" spans="1:5" ht="16.5" customHeight="1" x14ac:dyDescent="0.4">
      <c r="A723">
        <v>214</v>
      </c>
      <c r="B723" s="11">
        <v>1301</v>
      </c>
      <c r="C723" t="str">
        <f t="shared" si="49"/>
        <v>1호</v>
      </c>
      <c r="D723" t="str">
        <f t="shared" si="50"/>
        <v>13</v>
      </c>
      <c r="E723" t="str">
        <f t="shared" si="51"/>
        <v>2141호13</v>
      </c>
    </row>
    <row r="724" spans="1:5" ht="16.5" customHeight="1" x14ac:dyDescent="0.4">
      <c r="A724">
        <v>214</v>
      </c>
      <c r="B724" s="11">
        <v>1302</v>
      </c>
      <c r="C724" t="str">
        <f t="shared" si="49"/>
        <v>2호</v>
      </c>
      <c r="D724" t="str">
        <f t="shared" si="50"/>
        <v>13</v>
      </c>
      <c r="E724" t="str">
        <f t="shared" si="51"/>
        <v>2142호13</v>
      </c>
    </row>
    <row r="725" spans="1:5" ht="16.5" customHeight="1" x14ac:dyDescent="0.4">
      <c r="A725">
        <v>214</v>
      </c>
      <c r="B725" s="11">
        <v>1303</v>
      </c>
      <c r="C725" t="str">
        <f t="shared" si="49"/>
        <v>3호</v>
      </c>
      <c r="D725" t="str">
        <f t="shared" si="50"/>
        <v>13</v>
      </c>
      <c r="E725" t="str">
        <f t="shared" si="51"/>
        <v>2143호13</v>
      </c>
    </row>
    <row r="726" spans="1:5" ht="16.5" customHeight="1" x14ac:dyDescent="0.4">
      <c r="A726">
        <v>214</v>
      </c>
      <c r="B726" s="11">
        <v>1304</v>
      </c>
      <c r="C726" t="str">
        <f t="shared" si="49"/>
        <v>4호</v>
      </c>
      <c r="D726" t="str">
        <f t="shared" si="50"/>
        <v>13</v>
      </c>
      <c r="E726" t="str">
        <f t="shared" si="51"/>
        <v>2144호13</v>
      </c>
    </row>
    <row r="727" spans="1:5" ht="16.5" customHeight="1" x14ac:dyDescent="0.4">
      <c r="A727">
        <v>214</v>
      </c>
      <c r="B727" s="11">
        <v>1305</v>
      </c>
      <c r="C727" t="str">
        <f t="shared" si="49"/>
        <v>5호</v>
      </c>
      <c r="D727" t="str">
        <f t="shared" si="50"/>
        <v>13</v>
      </c>
      <c r="E727" t="str">
        <f t="shared" si="51"/>
        <v>2145호13</v>
      </c>
    </row>
    <row r="728" spans="1:5" ht="16.5" customHeight="1" x14ac:dyDescent="0.4">
      <c r="A728">
        <v>214</v>
      </c>
      <c r="B728" s="11">
        <v>1401</v>
      </c>
      <c r="C728" t="str">
        <f t="shared" si="49"/>
        <v>1호</v>
      </c>
      <c r="D728" t="str">
        <f t="shared" si="50"/>
        <v>14</v>
      </c>
      <c r="E728" t="str">
        <f t="shared" si="51"/>
        <v>2141호14</v>
      </c>
    </row>
    <row r="729" spans="1:5" ht="16.5" customHeight="1" x14ac:dyDescent="0.4">
      <c r="A729">
        <v>214</v>
      </c>
      <c r="B729" s="11">
        <v>1402</v>
      </c>
      <c r="C729" t="str">
        <f t="shared" si="49"/>
        <v>2호</v>
      </c>
      <c r="D729" t="str">
        <f t="shared" si="50"/>
        <v>14</v>
      </c>
      <c r="E729" t="str">
        <f t="shared" si="51"/>
        <v>2142호14</v>
      </c>
    </row>
    <row r="730" spans="1:5" ht="16.5" customHeight="1" x14ac:dyDescent="0.4">
      <c r="A730">
        <v>214</v>
      </c>
      <c r="B730" s="11">
        <v>1403</v>
      </c>
      <c r="C730" t="str">
        <f t="shared" si="49"/>
        <v>3호</v>
      </c>
      <c r="D730" t="str">
        <f t="shared" si="50"/>
        <v>14</v>
      </c>
      <c r="E730" t="str">
        <f t="shared" si="51"/>
        <v>2143호14</v>
      </c>
    </row>
    <row r="731" spans="1:5" ht="16.5" customHeight="1" x14ac:dyDescent="0.4">
      <c r="A731">
        <v>214</v>
      </c>
      <c r="B731" s="24">
        <v>1404</v>
      </c>
      <c r="C731" t="str">
        <f t="shared" si="49"/>
        <v>4호</v>
      </c>
      <c r="D731" t="str">
        <f t="shared" si="50"/>
        <v>14</v>
      </c>
      <c r="E731" t="str">
        <f t="shared" si="51"/>
        <v>2144호14</v>
      </c>
    </row>
    <row r="732" spans="1:5" ht="16.5" customHeight="1" x14ac:dyDescent="0.4">
      <c r="A732">
        <v>214</v>
      </c>
      <c r="B732" s="9">
        <v>1405</v>
      </c>
      <c r="C732" t="str">
        <f t="shared" si="49"/>
        <v>5호</v>
      </c>
      <c r="D732" t="str">
        <f t="shared" si="50"/>
        <v>14</v>
      </c>
      <c r="E732" t="str">
        <f t="shared" si="51"/>
        <v>2145호14</v>
      </c>
    </row>
    <row r="733" spans="1:5" ht="16.5" customHeight="1" x14ac:dyDescent="0.4">
      <c r="A733">
        <v>215</v>
      </c>
      <c r="B733" s="9">
        <v>101</v>
      </c>
      <c r="C733" t="str">
        <f t="shared" si="49"/>
        <v>1호</v>
      </c>
      <c r="D733" t="str">
        <f t="shared" ref="D733:D776" si="52">LEFT(B733,1)</f>
        <v>1</v>
      </c>
      <c r="E733" t="str">
        <f t="shared" si="51"/>
        <v>2151호1</v>
      </c>
    </row>
    <row r="734" spans="1:5" ht="16.5" customHeight="1" x14ac:dyDescent="0.4">
      <c r="A734">
        <v>215</v>
      </c>
      <c r="B734" s="9">
        <v>102</v>
      </c>
      <c r="C734" t="str">
        <f t="shared" si="49"/>
        <v>2호</v>
      </c>
      <c r="D734" t="str">
        <f t="shared" si="52"/>
        <v>1</v>
      </c>
      <c r="E734" t="str">
        <f t="shared" si="51"/>
        <v>2152호1</v>
      </c>
    </row>
    <row r="735" spans="1:5" ht="16.5" customHeight="1" x14ac:dyDescent="0.4">
      <c r="A735">
        <v>215</v>
      </c>
      <c r="B735" s="9">
        <v>103</v>
      </c>
      <c r="C735" t="str">
        <f t="shared" si="49"/>
        <v>3호</v>
      </c>
      <c r="D735" t="str">
        <f t="shared" si="52"/>
        <v>1</v>
      </c>
      <c r="E735" t="str">
        <f t="shared" si="51"/>
        <v>2153호1</v>
      </c>
    </row>
    <row r="736" spans="1:5" ht="16.5" customHeight="1" x14ac:dyDescent="0.4">
      <c r="A736">
        <v>215</v>
      </c>
      <c r="B736" s="9">
        <v>105</v>
      </c>
      <c r="C736" t="str">
        <f t="shared" si="49"/>
        <v>5호</v>
      </c>
      <c r="D736" t="str">
        <f t="shared" si="52"/>
        <v>1</v>
      </c>
      <c r="E736" t="str">
        <f t="shared" si="51"/>
        <v>2155호1</v>
      </c>
    </row>
    <row r="737" spans="1:5" ht="16.5" customHeight="1" x14ac:dyDescent="0.4">
      <c r="A737">
        <v>215</v>
      </c>
      <c r="B737" s="9">
        <v>201</v>
      </c>
      <c r="C737" t="str">
        <f t="shared" si="49"/>
        <v>1호</v>
      </c>
      <c r="D737" t="str">
        <f t="shared" si="52"/>
        <v>2</v>
      </c>
      <c r="E737" t="str">
        <f t="shared" si="51"/>
        <v>2151호2</v>
      </c>
    </row>
    <row r="738" spans="1:5" ht="16.5" customHeight="1" x14ac:dyDescent="0.4">
      <c r="A738">
        <v>215</v>
      </c>
      <c r="B738" s="9">
        <v>202</v>
      </c>
      <c r="C738" t="str">
        <f t="shared" si="49"/>
        <v>2호</v>
      </c>
      <c r="D738" t="str">
        <f t="shared" si="52"/>
        <v>2</v>
      </c>
      <c r="E738" t="str">
        <f t="shared" si="51"/>
        <v>2152호2</v>
      </c>
    </row>
    <row r="739" spans="1:5" ht="16.5" customHeight="1" x14ac:dyDescent="0.4">
      <c r="A739">
        <v>215</v>
      </c>
      <c r="B739" s="9">
        <v>203</v>
      </c>
      <c r="C739" t="str">
        <f t="shared" si="49"/>
        <v>3호</v>
      </c>
      <c r="D739" t="str">
        <f t="shared" si="52"/>
        <v>2</v>
      </c>
      <c r="E739" t="str">
        <f t="shared" si="51"/>
        <v>2153호2</v>
      </c>
    </row>
    <row r="740" spans="1:5" ht="16.5" customHeight="1" x14ac:dyDescent="0.4">
      <c r="A740">
        <v>215</v>
      </c>
      <c r="B740" s="9">
        <v>204</v>
      </c>
      <c r="C740" t="str">
        <f t="shared" si="49"/>
        <v>4호</v>
      </c>
      <c r="D740" t="str">
        <f t="shared" si="52"/>
        <v>2</v>
      </c>
      <c r="E740" t="str">
        <f t="shared" si="51"/>
        <v>2154호2</v>
      </c>
    </row>
    <row r="741" spans="1:5" ht="16.5" customHeight="1" x14ac:dyDescent="0.4">
      <c r="A741">
        <v>215</v>
      </c>
      <c r="B741" s="9">
        <v>205</v>
      </c>
      <c r="C741" t="str">
        <f t="shared" si="49"/>
        <v>5호</v>
      </c>
      <c r="D741" t="str">
        <f t="shared" si="52"/>
        <v>2</v>
      </c>
      <c r="E741" t="str">
        <f t="shared" si="51"/>
        <v>2155호2</v>
      </c>
    </row>
    <row r="742" spans="1:5" ht="16.5" customHeight="1" x14ac:dyDescent="0.4">
      <c r="A742">
        <v>215</v>
      </c>
      <c r="B742" s="22">
        <v>301</v>
      </c>
      <c r="C742" t="str">
        <f t="shared" si="49"/>
        <v>1호</v>
      </c>
      <c r="D742" t="str">
        <f t="shared" si="52"/>
        <v>3</v>
      </c>
      <c r="E742" t="str">
        <f t="shared" si="51"/>
        <v>2151호3</v>
      </c>
    </row>
    <row r="743" spans="1:5" ht="16.5" customHeight="1" x14ac:dyDescent="0.4">
      <c r="A743">
        <v>215</v>
      </c>
      <c r="B743" s="11">
        <v>302</v>
      </c>
      <c r="C743" t="str">
        <f t="shared" si="49"/>
        <v>2호</v>
      </c>
      <c r="D743" t="str">
        <f t="shared" si="52"/>
        <v>3</v>
      </c>
      <c r="E743" t="str">
        <f t="shared" si="51"/>
        <v>2152호3</v>
      </c>
    </row>
    <row r="744" spans="1:5" ht="16.5" customHeight="1" x14ac:dyDescent="0.4">
      <c r="A744">
        <v>215</v>
      </c>
      <c r="B744" s="11">
        <v>303</v>
      </c>
      <c r="C744" t="str">
        <f t="shared" si="49"/>
        <v>3호</v>
      </c>
      <c r="D744" t="str">
        <f t="shared" si="52"/>
        <v>3</v>
      </c>
      <c r="E744" t="str">
        <f t="shared" si="51"/>
        <v>2153호3</v>
      </c>
    </row>
    <row r="745" spans="1:5" ht="16.5" customHeight="1" x14ac:dyDescent="0.4">
      <c r="A745">
        <v>215</v>
      </c>
      <c r="B745" s="11">
        <v>304</v>
      </c>
      <c r="C745" t="str">
        <f t="shared" si="49"/>
        <v>4호</v>
      </c>
      <c r="D745" t="str">
        <f t="shared" si="52"/>
        <v>3</v>
      </c>
      <c r="E745" t="str">
        <f t="shared" si="51"/>
        <v>2154호3</v>
      </c>
    </row>
    <row r="746" spans="1:5" ht="16.5" customHeight="1" x14ac:dyDescent="0.4">
      <c r="A746">
        <v>215</v>
      </c>
      <c r="B746" s="11">
        <v>305</v>
      </c>
      <c r="C746" t="str">
        <f t="shared" si="49"/>
        <v>5호</v>
      </c>
      <c r="D746" t="str">
        <f t="shared" si="52"/>
        <v>3</v>
      </c>
      <c r="E746" t="str">
        <f t="shared" si="51"/>
        <v>2155호3</v>
      </c>
    </row>
    <row r="747" spans="1:5" ht="16.5" customHeight="1" x14ac:dyDescent="0.4">
      <c r="A747">
        <v>215</v>
      </c>
      <c r="B747" s="11">
        <v>401</v>
      </c>
      <c r="C747" t="str">
        <f t="shared" si="49"/>
        <v>1호</v>
      </c>
      <c r="D747" t="str">
        <f t="shared" si="52"/>
        <v>4</v>
      </c>
      <c r="E747" t="str">
        <f t="shared" si="51"/>
        <v>2151호4</v>
      </c>
    </row>
    <row r="748" spans="1:5" ht="16.5" customHeight="1" x14ac:dyDescent="0.4">
      <c r="A748">
        <v>215</v>
      </c>
      <c r="B748" s="11">
        <v>402</v>
      </c>
      <c r="C748" t="str">
        <f t="shared" si="49"/>
        <v>2호</v>
      </c>
      <c r="D748" t="str">
        <f t="shared" si="52"/>
        <v>4</v>
      </c>
      <c r="E748" t="str">
        <f t="shared" si="51"/>
        <v>2152호4</v>
      </c>
    </row>
    <row r="749" spans="1:5" ht="16.5" customHeight="1" x14ac:dyDescent="0.4">
      <c r="A749">
        <v>215</v>
      </c>
      <c r="B749" s="11">
        <v>403</v>
      </c>
      <c r="C749" t="str">
        <f t="shared" si="49"/>
        <v>3호</v>
      </c>
      <c r="D749" t="str">
        <f t="shared" si="52"/>
        <v>4</v>
      </c>
      <c r="E749" t="str">
        <f t="shared" si="51"/>
        <v>2153호4</v>
      </c>
    </row>
    <row r="750" spans="1:5" ht="16.5" customHeight="1" x14ac:dyDescent="0.4">
      <c r="A750">
        <v>215</v>
      </c>
      <c r="B750" s="11">
        <v>404</v>
      </c>
      <c r="C750" t="str">
        <f t="shared" si="49"/>
        <v>4호</v>
      </c>
      <c r="D750" t="str">
        <f t="shared" si="52"/>
        <v>4</v>
      </c>
      <c r="E750" t="str">
        <f t="shared" si="51"/>
        <v>2154호4</v>
      </c>
    </row>
    <row r="751" spans="1:5" ht="16.5" customHeight="1" x14ac:dyDescent="0.4">
      <c r="A751">
        <v>215</v>
      </c>
      <c r="B751" s="11">
        <v>405</v>
      </c>
      <c r="C751" t="str">
        <f t="shared" si="49"/>
        <v>5호</v>
      </c>
      <c r="D751" t="str">
        <f t="shared" si="52"/>
        <v>4</v>
      </c>
      <c r="E751" t="str">
        <f t="shared" si="51"/>
        <v>2155호4</v>
      </c>
    </row>
    <row r="752" spans="1:5" ht="16.5" customHeight="1" x14ac:dyDescent="0.4">
      <c r="A752">
        <v>215</v>
      </c>
      <c r="B752" s="11">
        <v>501</v>
      </c>
      <c r="C752" t="str">
        <f t="shared" si="49"/>
        <v>1호</v>
      </c>
      <c r="D752" t="str">
        <f t="shared" si="52"/>
        <v>5</v>
      </c>
      <c r="E752" t="str">
        <f t="shared" si="51"/>
        <v>2151호5</v>
      </c>
    </row>
    <row r="753" spans="1:5" ht="16.5" customHeight="1" x14ac:dyDescent="0.4">
      <c r="A753">
        <v>215</v>
      </c>
      <c r="B753" s="24">
        <v>502</v>
      </c>
      <c r="C753" t="str">
        <f t="shared" si="49"/>
        <v>2호</v>
      </c>
      <c r="D753" t="str">
        <f t="shared" si="52"/>
        <v>5</v>
      </c>
      <c r="E753" t="str">
        <f t="shared" si="51"/>
        <v>2152호5</v>
      </c>
    </row>
    <row r="754" spans="1:5" ht="16.5" customHeight="1" x14ac:dyDescent="0.4">
      <c r="A754">
        <v>215</v>
      </c>
      <c r="B754" s="11">
        <v>503</v>
      </c>
      <c r="C754" t="str">
        <f t="shared" si="49"/>
        <v>3호</v>
      </c>
      <c r="D754" t="str">
        <f t="shared" si="52"/>
        <v>5</v>
      </c>
      <c r="E754" t="str">
        <f t="shared" si="51"/>
        <v>2153호5</v>
      </c>
    </row>
    <row r="755" spans="1:5" ht="16.5" customHeight="1" x14ac:dyDescent="0.4">
      <c r="A755">
        <v>215</v>
      </c>
      <c r="B755" s="11">
        <v>504</v>
      </c>
      <c r="C755" t="str">
        <f t="shared" si="49"/>
        <v>4호</v>
      </c>
      <c r="D755" t="str">
        <f t="shared" si="52"/>
        <v>5</v>
      </c>
      <c r="E755" t="str">
        <f t="shared" si="51"/>
        <v>2154호5</v>
      </c>
    </row>
    <row r="756" spans="1:5" ht="16.5" customHeight="1" x14ac:dyDescent="0.4">
      <c r="A756">
        <v>215</v>
      </c>
      <c r="B756" s="11">
        <v>505</v>
      </c>
      <c r="C756" t="str">
        <f t="shared" si="49"/>
        <v>5호</v>
      </c>
      <c r="D756" t="str">
        <f t="shared" si="52"/>
        <v>5</v>
      </c>
      <c r="E756" t="str">
        <f t="shared" si="51"/>
        <v>2155호5</v>
      </c>
    </row>
    <row r="757" spans="1:5" ht="16.5" customHeight="1" x14ac:dyDescent="0.4">
      <c r="A757">
        <v>215</v>
      </c>
      <c r="B757" s="11">
        <v>601</v>
      </c>
      <c r="C757" t="str">
        <f t="shared" si="49"/>
        <v>1호</v>
      </c>
      <c r="D757" t="str">
        <f t="shared" si="52"/>
        <v>6</v>
      </c>
      <c r="E757" t="str">
        <f t="shared" si="51"/>
        <v>2151호6</v>
      </c>
    </row>
    <row r="758" spans="1:5" ht="16.5" customHeight="1" x14ac:dyDescent="0.4">
      <c r="A758">
        <v>215</v>
      </c>
      <c r="B758" s="11">
        <v>602</v>
      </c>
      <c r="C758" t="str">
        <f t="shared" si="49"/>
        <v>2호</v>
      </c>
      <c r="D758" t="str">
        <f t="shared" si="52"/>
        <v>6</v>
      </c>
      <c r="E758" t="str">
        <f t="shared" si="51"/>
        <v>2152호6</v>
      </c>
    </row>
    <row r="759" spans="1:5" ht="16.5" customHeight="1" x14ac:dyDescent="0.4">
      <c r="A759">
        <v>215</v>
      </c>
      <c r="B759" s="11">
        <v>603</v>
      </c>
      <c r="C759" t="str">
        <f t="shared" si="49"/>
        <v>3호</v>
      </c>
      <c r="D759" t="str">
        <f t="shared" si="52"/>
        <v>6</v>
      </c>
      <c r="E759" t="str">
        <f t="shared" si="51"/>
        <v>2153호6</v>
      </c>
    </row>
    <row r="760" spans="1:5" ht="16.5" customHeight="1" x14ac:dyDescent="0.4">
      <c r="A760">
        <v>215</v>
      </c>
      <c r="B760" s="11">
        <v>604</v>
      </c>
      <c r="C760" t="str">
        <f t="shared" si="49"/>
        <v>4호</v>
      </c>
      <c r="D760" t="str">
        <f t="shared" si="52"/>
        <v>6</v>
      </c>
      <c r="E760" t="str">
        <f t="shared" si="51"/>
        <v>2154호6</v>
      </c>
    </row>
    <row r="761" spans="1:5" ht="16.5" customHeight="1" x14ac:dyDescent="0.4">
      <c r="A761">
        <v>215</v>
      </c>
      <c r="B761" s="11">
        <v>605</v>
      </c>
      <c r="C761" t="str">
        <f t="shared" si="49"/>
        <v>5호</v>
      </c>
      <c r="D761" t="str">
        <f t="shared" si="52"/>
        <v>6</v>
      </c>
      <c r="E761" t="str">
        <f t="shared" si="51"/>
        <v>2155호6</v>
      </c>
    </row>
    <row r="762" spans="1:5" ht="16.5" customHeight="1" x14ac:dyDescent="0.4">
      <c r="A762">
        <v>215</v>
      </c>
      <c r="B762" s="11">
        <v>701</v>
      </c>
      <c r="C762" t="str">
        <f t="shared" si="49"/>
        <v>1호</v>
      </c>
      <c r="D762" t="str">
        <f t="shared" si="52"/>
        <v>7</v>
      </c>
      <c r="E762" t="str">
        <f t="shared" si="51"/>
        <v>2151호7</v>
      </c>
    </row>
    <row r="763" spans="1:5" ht="16.5" customHeight="1" x14ac:dyDescent="0.4">
      <c r="A763">
        <v>215</v>
      </c>
      <c r="B763" s="11">
        <v>702</v>
      </c>
      <c r="C763" t="str">
        <f t="shared" si="49"/>
        <v>2호</v>
      </c>
      <c r="D763" t="str">
        <f t="shared" si="52"/>
        <v>7</v>
      </c>
      <c r="E763" t="str">
        <f t="shared" si="51"/>
        <v>2152호7</v>
      </c>
    </row>
    <row r="764" spans="1:5" ht="16.5" customHeight="1" x14ac:dyDescent="0.4">
      <c r="A764">
        <v>215</v>
      </c>
      <c r="B764" s="24">
        <v>703</v>
      </c>
      <c r="C764" t="str">
        <f t="shared" si="49"/>
        <v>3호</v>
      </c>
      <c r="D764" t="str">
        <f t="shared" si="52"/>
        <v>7</v>
      </c>
      <c r="E764" t="str">
        <f t="shared" si="51"/>
        <v>2153호7</v>
      </c>
    </row>
    <row r="765" spans="1:5" ht="16.5" customHeight="1" x14ac:dyDescent="0.4">
      <c r="A765">
        <v>215</v>
      </c>
      <c r="B765" s="11">
        <v>704</v>
      </c>
      <c r="C765" t="str">
        <f t="shared" si="49"/>
        <v>4호</v>
      </c>
      <c r="D765" t="str">
        <f t="shared" si="52"/>
        <v>7</v>
      </c>
      <c r="E765" t="str">
        <f t="shared" si="51"/>
        <v>2154호7</v>
      </c>
    </row>
    <row r="766" spans="1:5" ht="16.5" customHeight="1" x14ac:dyDescent="0.4">
      <c r="A766">
        <v>215</v>
      </c>
      <c r="B766" s="11">
        <v>705</v>
      </c>
      <c r="C766" t="str">
        <f t="shared" si="49"/>
        <v>5호</v>
      </c>
      <c r="D766" t="str">
        <f t="shared" si="52"/>
        <v>7</v>
      </c>
      <c r="E766" t="str">
        <f t="shared" si="51"/>
        <v>2155호7</v>
      </c>
    </row>
    <row r="767" spans="1:5" ht="16.5" customHeight="1" x14ac:dyDescent="0.4">
      <c r="A767">
        <v>215</v>
      </c>
      <c r="B767" s="11">
        <v>801</v>
      </c>
      <c r="C767" t="str">
        <f t="shared" si="49"/>
        <v>1호</v>
      </c>
      <c r="D767" t="str">
        <f t="shared" si="52"/>
        <v>8</v>
      </c>
      <c r="E767" t="str">
        <f t="shared" si="51"/>
        <v>2151호8</v>
      </c>
    </row>
    <row r="768" spans="1:5" ht="16.5" customHeight="1" x14ac:dyDescent="0.4">
      <c r="A768">
        <v>215</v>
      </c>
      <c r="B768" s="11">
        <v>802</v>
      </c>
      <c r="C768" t="str">
        <f t="shared" si="49"/>
        <v>2호</v>
      </c>
      <c r="D768" t="str">
        <f t="shared" si="52"/>
        <v>8</v>
      </c>
      <c r="E768" t="str">
        <f t="shared" si="51"/>
        <v>2152호8</v>
      </c>
    </row>
    <row r="769" spans="1:5" ht="16.5" customHeight="1" x14ac:dyDescent="0.4">
      <c r="A769">
        <v>215</v>
      </c>
      <c r="B769" s="11">
        <v>803</v>
      </c>
      <c r="C769" t="str">
        <f t="shared" si="49"/>
        <v>3호</v>
      </c>
      <c r="D769" t="str">
        <f t="shared" si="52"/>
        <v>8</v>
      </c>
      <c r="E769" t="str">
        <f t="shared" si="51"/>
        <v>2153호8</v>
      </c>
    </row>
    <row r="770" spans="1:5" ht="16.5" customHeight="1" x14ac:dyDescent="0.4">
      <c r="A770">
        <v>215</v>
      </c>
      <c r="B770" s="11">
        <v>804</v>
      </c>
      <c r="C770" t="str">
        <f t="shared" si="49"/>
        <v>4호</v>
      </c>
      <c r="D770" t="str">
        <f t="shared" si="52"/>
        <v>8</v>
      </c>
      <c r="E770" t="str">
        <f t="shared" si="51"/>
        <v>2154호8</v>
      </c>
    </row>
    <row r="771" spans="1:5" ht="16.5" customHeight="1" x14ac:dyDescent="0.4">
      <c r="A771">
        <v>215</v>
      </c>
      <c r="B771" s="11">
        <v>805</v>
      </c>
      <c r="C771" t="str">
        <f t="shared" si="49"/>
        <v>5호</v>
      </c>
      <c r="D771" t="str">
        <f t="shared" si="52"/>
        <v>8</v>
      </c>
      <c r="E771" t="str">
        <f t="shared" si="51"/>
        <v>2155호8</v>
      </c>
    </row>
    <row r="772" spans="1:5" ht="16.5" customHeight="1" x14ac:dyDescent="0.4">
      <c r="A772">
        <v>215</v>
      </c>
      <c r="B772" s="11">
        <v>901</v>
      </c>
      <c r="C772" t="str">
        <f t="shared" ref="C772:C835" si="53">RIGHT(B772,1)&amp;"호"</f>
        <v>1호</v>
      </c>
      <c r="D772" t="str">
        <f t="shared" si="52"/>
        <v>9</v>
      </c>
      <c r="E772" t="str">
        <f t="shared" ref="E772:E835" si="54">A772&amp;C772&amp;D772</f>
        <v>2151호9</v>
      </c>
    </row>
    <row r="773" spans="1:5" ht="16.5" customHeight="1" x14ac:dyDescent="0.4">
      <c r="A773">
        <v>215</v>
      </c>
      <c r="B773" s="11">
        <v>902</v>
      </c>
      <c r="C773" t="str">
        <f t="shared" si="53"/>
        <v>2호</v>
      </c>
      <c r="D773" t="str">
        <f t="shared" si="52"/>
        <v>9</v>
      </c>
      <c r="E773" t="str">
        <f t="shared" si="54"/>
        <v>2152호9</v>
      </c>
    </row>
    <row r="774" spans="1:5" ht="16.5" customHeight="1" x14ac:dyDescent="0.4">
      <c r="A774">
        <v>215</v>
      </c>
      <c r="B774" s="11">
        <v>903</v>
      </c>
      <c r="C774" t="str">
        <f t="shared" si="53"/>
        <v>3호</v>
      </c>
      <c r="D774" t="str">
        <f t="shared" si="52"/>
        <v>9</v>
      </c>
      <c r="E774" t="str">
        <f t="shared" si="54"/>
        <v>2153호9</v>
      </c>
    </row>
    <row r="775" spans="1:5" ht="16.5" customHeight="1" x14ac:dyDescent="0.4">
      <c r="A775">
        <v>215</v>
      </c>
      <c r="B775" s="11">
        <v>904</v>
      </c>
      <c r="C775" t="str">
        <f t="shared" si="53"/>
        <v>4호</v>
      </c>
      <c r="D775" t="str">
        <f t="shared" si="52"/>
        <v>9</v>
      </c>
      <c r="E775" t="str">
        <f t="shared" si="54"/>
        <v>2154호9</v>
      </c>
    </row>
    <row r="776" spans="1:5" ht="16.5" customHeight="1" x14ac:dyDescent="0.4">
      <c r="A776">
        <v>215</v>
      </c>
      <c r="B776" s="11">
        <v>905</v>
      </c>
      <c r="C776" t="str">
        <f t="shared" si="53"/>
        <v>5호</v>
      </c>
      <c r="D776" t="str">
        <f t="shared" si="52"/>
        <v>9</v>
      </c>
      <c r="E776" t="str">
        <f t="shared" si="54"/>
        <v>2155호9</v>
      </c>
    </row>
    <row r="777" spans="1:5" ht="16.5" customHeight="1" x14ac:dyDescent="0.4">
      <c r="A777">
        <v>215</v>
      </c>
      <c r="B777" s="11">
        <v>1001</v>
      </c>
      <c r="C777" t="str">
        <f t="shared" si="53"/>
        <v>1호</v>
      </c>
      <c r="D777" t="str">
        <f t="shared" ref="D777:D792" si="55">LEFT(B777,2)</f>
        <v>10</v>
      </c>
      <c r="E777" t="str">
        <f t="shared" si="54"/>
        <v>2151호10</v>
      </c>
    </row>
    <row r="778" spans="1:5" ht="16.5" customHeight="1" x14ac:dyDescent="0.4">
      <c r="A778">
        <v>215</v>
      </c>
      <c r="B778" s="11">
        <v>1002</v>
      </c>
      <c r="C778" t="str">
        <f t="shared" si="53"/>
        <v>2호</v>
      </c>
      <c r="D778" t="str">
        <f t="shared" si="55"/>
        <v>10</v>
      </c>
      <c r="E778" t="str">
        <f t="shared" si="54"/>
        <v>2152호10</v>
      </c>
    </row>
    <row r="779" spans="1:5" ht="16.5" customHeight="1" x14ac:dyDescent="0.4">
      <c r="A779">
        <v>215</v>
      </c>
      <c r="B779" s="11">
        <v>1003</v>
      </c>
      <c r="C779" t="str">
        <f t="shared" si="53"/>
        <v>3호</v>
      </c>
      <c r="D779" t="str">
        <f t="shared" si="55"/>
        <v>10</v>
      </c>
      <c r="E779" t="str">
        <f t="shared" si="54"/>
        <v>2153호10</v>
      </c>
    </row>
    <row r="780" spans="1:5" ht="16.5" customHeight="1" x14ac:dyDescent="0.4">
      <c r="A780">
        <v>215</v>
      </c>
      <c r="B780" s="11">
        <v>1004</v>
      </c>
      <c r="C780" t="str">
        <f t="shared" si="53"/>
        <v>4호</v>
      </c>
      <c r="D780" t="str">
        <f t="shared" si="55"/>
        <v>10</v>
      </c>
      <c r="E780" t="str">
        <f t="shared" si="54"/>
        <v>2154호10</v>
      </c>
    </row>
    <row r="781" spans="1:5" ht="16.5" customHeight="1" x14ac:dyDescent="0.4">
      <c r="A781">
        <v>215</v>
      </c>
      <c r="B781" s="11">
        <v>1005</v>
      </c>
      <c r="C781" t="str">
        <f t="shared" si="53"/>
        <v>5호</v>
      </c>
      <c r="D781" t="str">
        <f t="shared" si="55"/>
        <v>10</v>
      </c>
      <c r="E781" t="str">
        <f t="shared" si="54"/>
        <v>2155호10</v>
      </c>
    </row>
    <row r="782" spans="1:5" ht="16.5" customHeight="1" x14ac:dyDescent="0.4">
      <c r="A782">
        <v>215</v>
      </c>
      <c r="B782" s="11">
        <v>1101</v>
      </c>
      <c r="C782" t="str">
        <f t="shared" si="53"/>
        <v>1호</v>
      </c>
      <c r="D782" t="str">
        <f t="shared" si="55"/>
        <v>11</v>
      </c>
      <c r="E782" t="str">
        <f t="shared" si="54"/>
        <v>2151호11</v>
      </c>
    </row>
    <row r="783" spans="1:5" ht="16.5" customHeight="1" x14ac:dyDescent="0.4">
      <c r="A783">
        <v>215</v>
      </c>
      <c r="B783" s="11">
        <v>1102</v>
      </c>
      <c r="C783" t="str">
        <f t="shared" si="53"/>
        <v>2호</v>
      </c>
      <c r="D783" t="str">
        <f t="shared" si="55"/>
        <v>11</v>
      </c>
      <c r="E783" t="str">
        <f t="shared" si="54"/>
        <v>2152호11</v>
      </c>
    </row>
    <row r="784" spans="1:5" ht="16.5" customHeight="1" x14ac:dyDescent="0.4">
      <c r="A784">
        <v>215</v>
      </c>
      <c r="B784" s="11">
        <v>1103</v>
      </c>
      <c r="C784" t="str">
        <f t="shared" si="53"/>
        <v>3호</v>
      </c>
      <c r="D784" t="str">
        <f t="shared" si="55"/>
        <v>11</v>
      </c>
      <c r="E784" t="str">
        <f t="shared" si="54"/>
        <v>2153호11</v>
      </c>
    </row>
    <row r="785" spans="1:5" ht="16.5" customHeight="1" x14ac:dyDescent="0.4">
      <c r="A785">
        <v>215</v>
      </c>
      <c r="B785" s="11">
        <v>1104</v>
      </c>
      <c r="C785" t="str">
        <f t="shared" si="53"/>
        <v>4호</v>
      </c>
      <c r="D785" t="str">
        <f t="shared" si="55"/>
        <v>11</v>
      </c>
      <c r="E785" t="str">
        <f t="shared" si="54"/>
        <v>2154호11</v>
      </c>
    </row>
    <row r="786" spans="1:5" ht="16.5" customHeight="1" x14ac:dyDescent="0.4">
      <c r="A786">
        <v>215</v>
      </c>
      <c r="B786" s="11">
        <v>1105</v>
      </c>
      <c r="C786" t="str">
        <f t="shared" si="53"/>
        <v>5호</v>
      </c>
      <c r="D786" t="str">
        <f t="shared" si="55"/>
        <v>11</v>
      </c>
      <c r="E786" t="str">
        <f t="shared" si="54"/>
        <v>2155호11</v>
      </c>
    </row>
    <row r="787" spans="1:5" ht="16.5" customHeight="1" x14ac:dyDescent="0.4">
      <c r="A787">
        <v>215</v>
      </c>
      <c r="B787" s="11">
        <v>1204</v>
      </c>
      <c r="C787" t="str">
        <f t="shared" si="53"/>
        <v>4호</v>
      </c>
      <c r="D787" t="str">
        <f t="shared" si="55"/>
        <v>12</v>
      </c>
      <c r="E787" t="str">
        <f t="shared" si="54"/>
        <v>2154호12</v>
      </c>
    </row>
    <row r="788" spans="1:5" ht="16.5" customHeight="1" x14ac:dyDescent="0.4">
      <c r="A788">
        <v>215</v>
      </c>
      <c r="B788" s="11">
        <v>1205</v>
      </c>
      <c r="C788" t="str">
        <f t="shared" si="53"/>
        <v>5호</v>
      </c>
      <c r="D788" t="str">
        <f t="shared" si="55"/>
        <v>12</v>
      </c>
      <c r="E788" t="str">
        <f t="shared" si="54"/>
        <v>2155호12</v>
      </c>
    </row>
    <row r="789" spans="1:5" ht="16.5" customHeight="1" x14ac:dyDescent="0.4">
      <c r="A789">
        <v>215</v>
      </c>
      <c r="B789" s="11">
        <v>1304</v>
      </c>
      <c r="C789" t="str">
        <f t="shared" si="53"/>
        <v>4호</v>
      </c>
      <c r="D789" t="str">
        <f t="shared" si="55"/>
        <v>13</v>
      </c>
      <c r="E789" t="str">
        <f t="shared" si="54"/>
        <v>2154호13</v>
      </c>
    </row>
    <row r="790" spans="1:5" ht="16.5" customHeight="1" x14ac:dyDescent="0.4">
      <c r="A790">
        <v>215</v>
      </c>
      <c r="B790" s="11">
        <v>1305</v>
      </c>
      <c r="C790" t="str">
        <f t="shared" si="53"/>
        <v>5호</v>
      </c>
      <c r="D790" t="str">
        <f t="shared" si="55"/>
        <v>13</v>
      </c>
      <c r="E790" t="str">
        <f t="shared" si="54"/>
        <v>2155호13</v>
      </c>
    </row>
    <row r="791" spans="1:5" ht="16.5" customHeight="1" x14ac:dyDescent="0.4">
      <c r="A791">
        <v>215</v>
      </c>
      <c r="B791" s="24">
        <v>1404</v>
      </c>
      <c r="C791" t="str">
        <f t="shared" si="53"/>
        <v>4호</v>
      </c>
      <c r="D791" t="str">
        <f t="shared" si="55"/>
        <v>14</v>
      </c>
      <c r="E791" t="str">
        <f t="shared" si="54"/>
        <v>2154호14</v>
      </c>
    </row>
    <row r="792" spans="1:5" ht="16.5" customHeight="1" x14ac:dyDescent="0.4">
      <c r="A792">
        <v>215</v>
      </c>
      <c r="B792" s="9">
        <v>1405</v>
      </c>
      <c r="C792" t="str">
        <f t="shared" si="53"/>
        <v>5호</v>
      </c>
      <c r="D792" t="str">
        <f t="shared" si="55"/>
        <v>14</v>
      </c>
      <c r="E792" t="str">
        <f t="shared" si="54"/>
        <v>2155호14</v>
      </c>
    </row>
    <row r="793" spans="1:5" ht="16.5" customHeight="1" x14ac:dyDescent="0.4">
      <c r="A793">
        <v>216</v>
      </c>
      <c r="B793" s="9">
        <v>101</v>
      </c>
      <c r="C793" t="str">
        <f t="shared" si="53"/>
        <v>1호</v>
      </c>
      <c r="D793" t="str">
        <f t="shared" ref="D793:D837" si="56">LEFT(B793,1)</f>
        <v>1</v>
      </c>
      <c r="E793" t="str">
        <f t="shared" si="54"/>
        <v>2161호1</v>
      </c>
    </row>
    <row r="794" spans="1:5" ht="16.5" customHeight="1" x14ac:dyDescent="0.4">
      <c r="A794">
        <v>216</v>
      </c>
      <c r="B794" s="9">
        <v>102</v>
      </c>
      <c r="C794" t="str">
        <f t="shared" si="53"/>
        <v>2호</v>
      </c>
      <c r="D794" t="str">
        <f t="shared" si="56"/>
        <v>1</v>
      </c>
      <c r="E794" t="str">
        <f t="shared" si="54"/>
        <v>2162호1</v>
      </c>
    </row>
    <row r="795" spans="1:5" ht="16.5" customHeight="1" x14ac:dyDescent="0.4">
      <c r="A795">
        <v>216</v>
      </c>
      <c r="B795" s="9">
        <v>103</v>
      </c>
      <c r="C795" t="str">
        <f t="shared" si="53"/>
        <v>3호</v>
      </c>
      <c r="D795" t="str">
        <f t="shared" si="56"/>
        <v>1</v>
      </c>
      <c r="E795" t="str">
        <f t="shared" si="54"/>
        <v>2163호1</v>
      </c>
    </row>
    <row r="796" spans="1:5" ht="16.5" customHeight="1" x14ac:dyDescent="0.4">
      <c r="A796">
        <v>216</v>
      </c>
      <c r="B796" s="9">
        <v>104</v>
      </c>
      <c r="C796" t="str">
        <f t="shared" si="53"/>
        <v>4호</v>
      </c>
      <c r="D796" t="str">
        <f t="shared" si="56"/>
        <v>1</v>
      </c>
      <c r="E796" t="str">
        <f t="shared" si="54"/>
        <v>2164호1</v>
      </c>
    </row>
    <row r="797" spans="1:5" ht="16.5" customHeight="1" x14ac:dyDescent="0.4">
      <c r="A797">
        <v>216</v>
      </c>
      <c r="B797" s="9">
        <v>105</v>
      </c>
      <c r="C797" t="str">
        <f t="shared" si="53"/>
        <v>5호</v>
      </c>
      <c r="D797" t="str">
        <f t="shared" si="56"/>
        <v>1</v>
      </c>
      <c r="E797" t="str">
        <f t="shared" si="54"/>
        <v>2165호1</v>
      </c>
    </row>
    <row r="798" spans="1:5" ht="16.5" customHeight="1" x14ac:dyDescent="0.4">
      <c r="A798">
        <v>216</v>
      </c>
      <c r="B798" s="9">
        <v>201</v>
      </c>
      <c r="C798" t="str">
        <f t="shared" si="53"/>
        <v>1호</v>
      </c>
      <c r="D798" t="str">
        <f t="shared" si="56"/>
        <v>2</v>
      </c>
      <c r="E798" t="str">
        <f t="shared" si="54"/>
        <v>2161호2</v>
      </c>
    </row>
    <row r="799" spans="1:5" ht="16.5" customHeight="1" x14ac:dyDescent="0.4">
      <c r="A799">
        <v>216</v>
      </c>
      <c r="B799" s="9">
        <v>202</v>
      </c>
      <c r="C799" t="str">
        <f t="shared" si="53"/>
        <v>2호</v>
      </c>
      <c r="D799" t="str">
        <f t="shared" si="56"/>
        <v>2</v>
      </c>
      <c r="E799" t="str">
        <f t="shared" si="54"/>
        <v>2162호2</v>
      </c>
    </row>
    <row r="800" spans="1:5" ht="16.5" customHeight="1" x14ac:dyDescent="0.4">
      <c r="A800">
        <v>216</v>
      </c>
      <c r="B800" s="9">
        <v>203</v>
      </c>
      <c r="C800" t="str">
        <f t="shared" si="53"/>
        <v>3호</v>
      </c>
      <c r="D800" t="str">
        <f t="shared" si="56"/>
        <v>2</v>
      </c>
      <c r="E800" t="str">
        <f t="shared" si="54"/>
        <v>2163호2</v>
      </c>
    </row>
    <row r="801" spans="1:5" ht="16.5" customHeight="1" x14ac:dyDescent="0.4">
      <c r="A801">
        <v>216</v>
      </c>
      <c r="B801" s="9">
        <v>204</v>
      </c>
      <c r="C801" t="str">
        <f t="shared" si="53"/>
        <v>4호</v>
      </c>
      <c r="D801" t="str">
        <f t="shared" si="56"/>
        <v>2</v>
      </c>
      <c r="E801" t="str">
        <f t="shared" si="54"/>
        <v>2164호2</v>
      </c>
    </row>
    <row r="802" spans="1:5" ht="16.5" customHeight="1" x14ac:dyDescent="0.4">
      <c r="A802">
        <v>216</v>
      </c>
      <c r="B802" s="22">
        <v>205</v>
      </c>
      <c r="C802" t="str">
        <f t="shared" si="53"/>
        <v>5호</v>
      </c>
      <c r="D802" t="str">
        <f t="shared" si="56"/>
        <v>2</v>
      </c>
      <c r="E802" t="str">
        <f t="shared" si="54"/>
        <v>2165호2</v>
      </c>
    </row>
    <row r="803" spans="1:5" ht="16.5" customHeight="1" x14ac:dyDescent="0.4">
      <c r="A803">
        <v>216</v>
      </c>
      <c r="B803" s="11">
        <v>301</v>
      </c>
      <c r="C803" t="str">
        <f t="shared" si="53"/>
        <v>1호</v>
      </c>
      <c r="D803" t="str">
        <f t="shared" si="56"/>
        <v>3</v>
      </c>
      <c r="E803" t="str">
        <f t="shared" si="54"/>
        <v>2161호3</v>
      </c>
    </row>
    <row r="804" spans="1:5" ht="16.5" customHeight="1" x14ac:dyDescent="0.4">
      <c r="A804">
        <v>216</v>
      </c>
      <c r="B804" s="11">
        <v>302</v>
      </c>
      <c r="C804" t="str">
        <f t="shared" si="53"/>
        <v>2호</v>
      </c>
      <c r="D804" t="str">
        <f t="shared" si="56"/>
        <v>3</v>
      </c>
      <c r="E804" t="str">
        <f t="shared" si="54"/>
        <v>2162호3</v>
      </c>
    </row>
    <row r="805" spans="1:5" ht="16.5" customHeight="1" x14ac:dyDescent="0.4">
      <c r="A805">
        <v>216</v>
      </c>
      <c r="B805" s="11">
        <v>303</v>
      </c>
      <c r="C805" t="str">
        <f t="shared" si="53"/>
        <v>3호</v>
      </c>
      <c r="D805" t="str">
        <f t="shared" si="56"/>
        <v>3</v>
      </c>
      <c r="E805" t="str">
        <f t="shared" si="54"/>
        <v>2163호3</v>
      </c>
    </row>
    <row r="806" spans="1:5" ht="16.5" customHeight="1" x14ac:dyDescent="0.4">
      <c r="A806">
        <v>216</v>
      </c>
      <c r="B806" s="11">
        <v>304</v>
      </c>
      <c r="C806" t="str">
        <f t="shared" si="53"/>
        <v>4호</v>
      </c>
      <c r="D806" t="str">
        <f t="shared" si="56"/>
        <v>3</v>
      </c>
      <c r="E806" t="str">
        <f t="shared" si="54"/>
        <v>2164호3</v>
      </c>
    </row>
    <row r="807" spans="1:5" ht="16.5" customHeight="1" x14ac:dyDescent="0.4">
      <c r="A807">
        <v>216</v>
      </c>
      <c r="B807" s="11">
        <v>305</v>
      </c>
      <c r="C807" t="str">
        <f t="shared" si="53"/>
        <v>5호</v>
      </c>
      <c r="D807" t="str">
        <f t="shared" si="56"/>
        <v>3</v>
      </c>
      <c r="E807" t="str">
        <f t="shared" si="54"/>
        <v>2165호3</v>
      </c>
    </row>
    <row r="808" spans="1:5" ht="16.5" customHeight="1" x14ac:dyDescent="0.4">
      <c r="A808">
        <v>216</v>
      </c>
      <c r="B808" s="11">
        <v>401</v>
      </c>
      <c r="C808" t="str">
        <f t="shared" si="53"/>
        <v>1호</v>
      </c>
      <c r="D808" t="str">
        <f t="shared" si="56"/>
        <v>4</v>
      </c>
      <c r="E808" t="str">
        <f t="shared" si="54"/>
        <v>2161호4</v>
      </c>
    </row>
    <row r="809" spans="1:5" ht="16.5" customHeight="1" x14ac:dyDescent="0.4">
      <c r="A809">
        <v>216</v>
      </c>
      <c r="B809" s="11">
        <v>402</v>
      </c>
      <c r="C809" t="str">
        <f t="shared" si="53"/>
        <v>2호</v>
      </c>
      <c r="D809" t="str">
        <f t="shared" si="56"/>
        <v>4</v>
      </c>
      <c r="E809" t="str">
        <f t="shared" si="54"/>
        <v>2162호4</v>
      </c>
    </row>
    <row r="810" spans="1:5" ht="16.5" customHeight="1" x14ac:dyDescent="0.4">
      <c r="A810">
        <v>216</v>
      </c>
      <c r="B810" s="11">
        <v>403</v>
      </c>
      <c r="C810" t="str">
        <f t="shared" si="53"/>
        <v>3호</v>
      </c>
      <c r="D810" t="str">
        <f t="shared" si="56"/>
        <v>4</v>
      </c>
      <c r="E810" t="str">
        <f t="shared" si="54"/>
        <v>2163호4</v>
      </c>
    </row>
    <row r="811" spans="1:5" ht="16.5" customHeight="1" x14ac:dyDescent="0.4">
      <c r="A811">
        <v>216</v>
      </c>
      <c r="B811" s="11">
        <v>404</v>
      </c>
      <c r="C811" t="str">
        <f t="shared" si="53"/>
        <v>4호</v>
      </c>
      <c r="D811" t="str">
        <f t="shared" si="56"/>
        <v>4</v>
      </c>
      <c r="E811" t="str">
        <f t="shared" si="54"/>
        <v>2164호4</v>
      </c>
    </row>
    <row r="812" spans="1:5" ht="16.5" customHeight="1" x14ac:dyDescent="0.4">
      <c r="A812">
        <v>216</v>
      </c>
      <c r="B812" s="11">
        <v>405</v>
      </c>
      <c r="C812" t="str">
        <f t="shared" si="53"/>
        <v>5호</v>
      </c>
      <c r="D812" t="str">
        <f t="shared" si="56"/>
        <v>4</v>
      </c>
      <c r="E812" t="str">
        <f t="shared" si="54"/>
        <v>2165호4</v>
      </c>
    </row>
    <row r="813" spans="1:5" ht="16.5" customHeight="1" x14ac:dyDescent="0.4">
      <c r="A813">
        <v>216</v>
      </c>
      <c r="B813" s="24">
        <v>501</v>
      </c>
      <c r="C813" t="str">
        <f t="shared" si="53"/>
        <v>1호</v>
      </c>
      <c r="D813" t="str">
        <f t="shared" si="56"/>
        <v>5</v>
      </c>
      <c r="E813" t="str">
        <f t="shared" si="54"/>
        <v>2161호5</v>
      </c>
    </row>
    <row r="814" spans="1:5" ht="16.5" customHeight="1" x14ac:dyDescent="0.4">
      <c r="A814">
        <v>216</v>
      </c>
      <c r="B814" s="11">
        <v>502</v>
      </c>
      <c r="C814" t="str">
        <f t="shared" si="53"/>
        <v>2호</v>
      </c>
      <c r="D814" t="str">
        <f t="shared" si="56"/>
        <v>5</v>
      </c>
      <c r="E814" t="str">
        <f t="shared" si="54"/>
        <v>2162호5</v>
      </c>
    </row>
    <row r="815" spans="1:5" ht="16.5" customHeight="1" x14ac:dyDescent="0.4">
      <c r="A815">
        <v>216</v>
      </c>
      <c r="B815" s="11">
        <v>503</v>
      </c>
      <c r="C815" t="str">
        <f t="shared" si="53"/>
        <v>3호</v>
      </c>
      <c r="D815" t="str">
        <f t="shared" si="56"/>
        <v>5</v>
      </c>
      <c r="E815" t="str">
        <f t="shared" si="54"/>
        <v>2163호5</v>
      </c>
    </row>
    <row r="816" spans="1:5" ht="16.5" customHeight="1" x14ac:dyDescent="0.4">
      <c r="A816">
        <v>216</v>
      </c>
      <c r="B816" s="11">
        <v>504</v>
      </c>
      <c r="C816" t="str">
        <f t="shared" si="53"/>
        <v>4호</v>
      </c>
      <c r="D816" t="str">
        <f t="shared" si="56"/>
        <v>5</v>
      </c>
      <c r="E816" t="str">
        <f t="shared" si="54"/>
        <v>2164호5</v>
      </c>
    </row>
    <row r="817" spans="1:5" ht="16.5" customHeight="1" x14ac:dyDescent="0.4">
      <c r="A817">
        <v>216</v>
      </c>
      <c r="B817" s="11">
        <v>505</v>
      </c>
      <c r="C817" t="str">
        <f t="shared" si="53"/>
        <v>5호</v>
      </c>
      <c r="D817" t="str">
        <f t="shared" si="56"/>
        <v>5</v>
      </c>
      <c r="E817" t="str">
        <f t="shared" si="54"/>
        <v>2165호5</v>
      </c>
    </row>
    <row r="818" spans="1:5" ht="16.5" customHeight="1" x14ac:dyDescent="0.4">
      <c r="A818">
        <v>216</v>
      </c>
      <c r="B818" s="11">
        <v>601</v>
      </c>
      <c r="C818" t="str">
        <f t="shared" si="53"/>
        <v>1호</v>
      </c>
      <c r="D818" t="str">
        <f t="shared" si="56"/>
        <v>6</v>
      </c>
      <c r="E818" t="str">
        <f t="shared" si="54"/>
        <v>2161호6</v>
      </c>
    </row>
    <row r="819" spans="1:5" ht="16.5" customHeight="1" x14ac:dyDescent="0.4">
      <c r="A819">
        <v>216</v>
      </c>
      <c r="B819" s="11">
        <v>602</v>
      </c>
      <c r="C819" t="str">
        <f t="shared" si="53"/>
        <v>2호</v>
      </c>
      <c r="D819" t="str">
        <f t="shared" si="56"/>
        <v>6</v>
      </c>
      <c r="E819" t="str">
        <f t="shared" si="54"/>
        <v>2162호6</v>
      </c>
    </row>
    <row r="820" spans="1:5" ht="16.5" customHeight="1" x14ac:dyDescent="0.4">
      <c r="A820">
        <v>216</v>
      </c>
      <c r="B820" s="11">
        <v>603</v>
      </c>
      <c r="C820" t="str">
        <f t="shared" si="53"/>
        <v>3호</v>
      </c>
      <c r="D820" t="str">
        <f t="shared" si="56"/>
        <v>6</v>
      </c>
      <c r="E820" t="str">
        <f t="shared" si="54"/>
        <v>2163호6</v>
      </c>
    </row>
    <row r="821" spans="1:5" ht="16.5" customHeight="1" x14ac:dyDescent="0.4">
      <c r="A821">
        <v>216</v>
      </c>
      <c r="B821" s="11">
        <v>604</v>
      </c>
      <c r="C821" t="str">
        <f t="shared" si="53"/>
        <v>4호</v>
      </c>
      <c r="D821" t="str">
        <f t="shared" si="56"/>
        <v>6</v>
      </c>
      <c r="E821" t="str">
        <f t="shared" si="54"/>
        <v>2164호6</v>
      </c>
    </row>
    <row r="822" spans="1:5" ht="16.5" customHeight="1" x14ac:dyDescent="0.4">
      <c r="A822">
        <v>216</v>
      </c>
      <c r="B822" s="11">
        <v>605</v>
      </c>
      <c r="C822" t="str">
        <f t="shared" si="53"/>
        <v>5호</v>
      </c>
      <c r="D822" t="str">
        <f t="shared" si="56"/>
        <v>6</v>
      </c>
      <c r="E822" t="str">
        <f t="shared" si="54"/>
        <v>2165호6</v>
      </c>
    </row>
    <row r="823" spans="1:5" ht="16.5" customHeight="1" x14ac:dyDescent="0.4">
      <c r="A823">
        <v>216</v>
      </c>
      <c r="B823" s="11">
        <v>701</v>
      </c>
      <c r="C823" t="str">
        <f t="shared" si="53"/>
        <v>1호</v>
      </c>
      <c r="D823" t="str">
        <f t="shared" si="56"/>
        <v>7</v>
      </c>
      <c r="E823" t="str">
        <f t="shared" si="54"/>
        <v>2161호7</v>
      </c>
    </row>
    <row r="824" spans="1:5" ht="16.5" customHeight="1" x14ac:dyDescent="0.4">
      <c r="A824">
        <v>216</v>
      </c>
      <c r="B824" s="11">
        <v>702</v>
      </c>
      <c r="C824" t="str">
        <f t="shared" si="53"/>
        <v>2호</v>
      </c>
      <c r="D824" t="str">
        <f t="shared" si="56"/>
        <v>7</v>
      </c>
      <c r="E824" t="str">
        <f t="shared" si="54"/>
        <v>2162호7</v>
      </c>
    </row>
    <row r="825" spans="1:5" ht="16.5" customHeight="1" x14ac:dyDescent="0.4">
      <c r="A825">
        <v>216</v>
      </c>
      <c r="B825" s="11">
        <v>703</v>
      </c>
      <c r="C825" t="str">
        <f t="shared" si="53"/>
        <v>3호</v>
      </c>
      <c r="D825" t="str">
        <f t="shared" si="56"/>
        <v>7</v>
      </c>
      <c r="E825" t="str">
        <f t="shared" si="54"/>
        <v>2163호7</v>
      </c>
    </row>
    <row r="826" spans="1:5" ht="16.5" customHeight="1" x14ac:dyDescent="0.4">
      <c r="A826">
        <v>216</v>
      </c>
      <c r="B826" s="11">
        <v>704</v>
      </c>
      <c r="C826" t="str">
        <f t="shared" si="53"/>
        <v>4호</v>
      </c>
      <c r="D826" t="str">
        <f t="shared" si="56"/>
        <v>7</v>
      </c>
      <c r="E826" t="str">
        <f t="shared" si="54"/>
        <v>2164호7</v>
      </c>
    </row>
    <row r="827" spans="1:5" ht="16.5" customHeight="1" x14ac:dyDescent="0.4">
      <c r="A827">
        <v>216</v>
      </c>
      <c r="B827" s="24">
        <v>705</v>
      </c>
      <c r="C827" t="str">
        <f t="shared" si="53"/>
        <v>5호</v>
      </c>
      <c r="D827" t="str">
        <f t="shared" si="56"/>
        <v>7</v>
      </c>
      <c r="E827" t="str">
        <f t="shared" si="54"/>
        <v>2165호7</v>
      </c>
    </row>
    <row r="828" spans="1:5" ht="16.5" customHeight="1" x14ac:dyDescent="0.4">
      <c r="A828">
        <v>216</v>
      </c>
      <c r="B828" s="11">
        <v>801</v>
      </c>
      <c r="C828" t="str">
        <f t="shared" si="53"/>
        <v>1호</v>
      </c>
      <c r="D828" t="str">
        <f t="shared" si="56"/>
        <v>8</v>
      </c>
      <c r="E828" t="str">
        <f t="shared" si="54"/>
        <v>2161호8</v>
      </c>
    </row>
    <row r="829" spans="1:5" ht="16.5" customHeight="1" x14ac:dyDescent="0.4">
      <c r="A829">
        <v>216</v>
      </c>
      <c r="B829" s="11">
        <v>802</v>
      </c>
      <c r="C829" t="str">
        <f t="shared" si="53"/>
        <v>2호</v>
      </c>
      <c r="D829" t="str">
        <f t="shared" si="56"/>
        <v>8</v>
      </c>
      <c r="E829" t="str">
        <f t="shared" si="54"/>
        <v>2162호8</v>
      </c>
    </row>
    <row r="830" spans="1:5" ht="16.5" customHeight="1" x14ac:dyDescent="0.4">
      <c r="A830">
        <v>216</v>
      </c>
      <c r="B830" s="11">
        <v>803</v>
      </c>
      <c r="C830" t="str">
        <f t="shared" si="53"/>
        <v>3호</v>
      </c>
      <c r="D830" t="str">
        <f t="shared" si="56"/>
        <v>8</v>
      </c>
      <c r="E830" t="str">
        <f t="shared" si="54"/>
        <v>2163호8</v>
      </c>
    </row>
    <row r="831" spans="1:5" ht="16.5" customHeight="1" x14ac:dyDescent="0.4">
      <c r="A831">
        <v>216</v>
      </c>
      <c r="B831" s="11">
        <v>804</v>
      </c>
      <c r="C831" t="str">
        <f t="shared" si="53"/>
        <v>4호</v>
      </c>
      <c r="D831" t="str">
        <f t="shared" si="56"/>
        <v>8</v>
      </c>
      <c r="E831" t="str">
        <f t="shared" si="54"/>
        <v>2164호8</v>
      </c>
    </row>
    <row r="832" spans="1:5" ht="16.5" customHeight="1" x14ac:dyDescent="0.4">
      <c r="A832">
        <v>216</v>
      </c>
      <c r="B832" s="11">
        <v>805</v>
      </c>
      <c r="C832" t="str">
        <f t="shared" si="53"/>
        <v>5호</v>
      </c>
      <c r="D832" t="str">
        <f t="shared" si="56"/>
        <v>8</v>
      </c>
      <c r="E832" t="str">
        <f t="shared" si="54"/>
        <v>2165호8</v>
      </c>
    </row>
    <row r="833" spans="1:5" ht="16.5" customHeight="1" x14ac:dyDescent="0.4">
      <c r="A833">
        <v>216</v>
      </c>
      <c r="B833" s="11">
        <v>901</v>
      </c>
      <c r="C833" t="str">
        <f t="shared" si="53"/>
        <v>1호</v>
      </c>
      <c r="D833" t="str">
        <f t="shared" si="56"/>
        <v>9</v>
      </c>
      <c r="E833" t="str">
        <f t="shared" si="54"/>
        <v>2161호9</v>
      </c>
    </row>
    <row r="834" spans="1:5" ht="16.5" customHeight="1" x14ac:dyDescent="0.4">
      <c r="A834">
        <v>216</v>
      </c>
      <c r="B834" s="11">
        <v>902</v>
      </c>
      <c r="C834" t="str">
        <f t="shared" si="53"/>
        <v>2호</v>
      </c>
      <c r="D834" t="str">
        <f t="shared" si="56"/>
        <v>9</v>
      </c>
      <c r="E834" t="str">
        <f t="shared" si="54"/>
        <v>2162호9</v>
      </c>
    </row>
    <row r="835" spans="1:5" ht="16.5" customHeight="1" x14ac:dyDescent="0.4">
      <c r="A835">
        <v>216</v>
      </c>
      <c r="B835" s="11">
        <v>903</v>
      </c>
      <c r="C835" t="str">
        <f t="shared" si="53"/>
        <v>3호</v>
      </c>
      <c r="D835" t="str">
        <f t="shared" si="56"/>
        <v>9</v>
      </c>
      <c r="E835" t="str">
        <f t="shared" si="54"/>
        <v>2163호9</v>
      </c>
    </row>
    <row r="836" spans="1:5" ht="16.5" customHeight="1" x14ac:dyDescent="0.4">
      <c r="A836">
        <v>216</v>
      </c>
      <c r="B836" s="11">
        <v>904</v>
      </c>
      <c r="C836" t="str">
        <f t="shared" ref="C836:C899" si="57">RIGHT(B836,1)&amp;"호"</f>
        <v>4호</v>
      </c>
      <c r="D836" t="str">
        <f t="shared" si="56"/>
        <v>9</v>
      </c>
      <c r="E836" t="str">
        <f t="shared" ref="E836:E899" si="58">A836&amp;C836&amp;D836</f>
        <v>2164호9</v>
      </c>
    </row>
    <row r="837" spans="1:5" ht="16.5" customHeight="1" x14ac:dyDescent="0.4">
      <c r="A837">
        <v>216</v>
      </c>
      <c r="B837" s="11">
        <v>905</v>
      </c>
      <c r="C837" t="str">
        <f t="shared" si="57"/>
        <v>5호</v>
      </c>
      <c r="D837" t="str">
        <f t="shared" si="56"/>
        <v>9</v>
      </c>
      <c r="E837" t="str">
        <f t="shared" si="58"/>
        <v>2165호9</v>
      </c>
    </row>
    <row r="838" spans="1:5" ht="16.5" customHeight="1" x14ac:dyDescent="0.4">
      <c r="A838">
        <v>216</v>
      </c>
      <c r="B838" s="11">
        <v>1001</v>
      </c>
      <c r="C838" t="str">
        <f t="shared" si="57"/>
        <v>1호</v>
      </c>
      <c r="D838" t="str">
        <f t="shared" ref="D838:D856" si="59">LEFT(B838,2)</f>
        <v>10</v>
      </c>
      <c r="E838" t="str">
        <f t="shared" si="58"/>
        <v>2161호10</v>
      </c>
    </row>
    <row r="839" spans="1:5" ht="16.5" customHeight="1" x14ac:dyDescent="0.4">
      <c r="A839">
        <v>216</v>
      </c>
      <c r="B839" s="11">
        <v>1002</v>
      </c>
      <c r="C839" t="str">
        <f t="shared" si="57"/>
        <v>2호</v>
      </c>
      <c r="D839" t="str">
        <f t="shared" si="59"/>
        <v>10</v>
      </c>
      <c r="E839" t="str">
        <f t="shared" si="58"/>
        <v>2162호10</v>
      </c>
    </row>
    <row r="840" spans="1:5" ht="16.5" customHeight="1" x14ac:dyDescent="0.4">
      <c r="A840">
        <v>216</v>
      </c>
      <c r="B840" s="11">
        <v>1003</v>
      </c>
      <c r="C840" t="str">
        <f t="shared" si="57"/>
        <v>3호</v>
      </c>
      <c r="D840" t="str">
        <f t="shared" si="59"/>
        <v>10</v>
      </c>
      <c r="E840" t="str">
        <f t="shared" si="58"/>
        <v>2163호10</v>
      </c>
    </row>
    <row r="841" spans="1:5" ht="16.5" customHeight="1" x14ac:dyDescent="0.4">
      <c r="A841">
        <v>216</v>
      </c>
      <c r="B841" s="24">
        <v>1004</v>
      </c>
      <c r="C841" t="str">
        <f t="shared" si="57"/>
        <v>4호</v>
      </c>
      <c r="D841" t="str">
        <f t="shared" si="59"/>
        <v>10</v>
      </c>
      <c r="E841" t="str">
        <f t="shared" si="58"/>
        <v>2164호10</v>
      </c>
    </row>
    <row r="842" spans="1:5" ht="16.5" customHeight="1" x14ac:dyDescent="0.4">
      <c r="A842">
        <v>216</v>
      </c>
      <c r="B842" s="11">
        <v>1005</v>
      </c>
      <c r="C842" t="str">
        <f t="shared" si="57"/>
        <v>5호</v>
      </c>
      <c r="D842" t="str">
        <f t="shared" si="59"/>
        <v>10</v>
      </c>
      <c r="E842" t="str">
        <f t="shared" si="58"/>
        <v>2165호10</v>
      </c>
    </row>
    <row r="843" spans="1:5" ht="16.5" customHeight="1" x14ac:dyDescent="0.4">
      <c r="A843">
        <v>216</v>
      </c>
      <c r="B843" s="11">
        <v>1101</v>
      </c>
      <c r="C843" t="str">
        <f t="shared" si="57"/>
        <v>1호</v>
      </c>
      <c r="D843" t="str">
        <f t="shared" si="59"/>
        <v>11</v>
      </c>
      <c r="E843" t="str">
        <f t="shared" si="58"/>
        <v>2161호11</v>
      </c>
    </row>
    <row r="844" spans="1:5" ht="16.5" customHeight="1" x14ac:dyDescent="0.4">
      <c r="A844">
        <v>216</v>
      </c>
      <c r="B844" s="11">
        <v>1102</v>
      </c>
      <c r="C844" t="str">
        <f t="shared" si="57"/>
        <v>2호</v>
      </c>
      <c r="D844" t="str">
        <f t="shared" si="59"/>
        <v>11</v>
      </c>
      <c r="E844" t="str">
        <f t="shared" si="58"/>
        <v>2162호11</v>
      </c>
    </row>
    <row r="845" spans="1:5" ht="16.5" customHeight="1" x14ac:dyDescent="0.4">
      <c r="A845">
        <v>216</v>
      </c>
      <c r="B845" s="11">
        <v>1103</v>
      </c>
      <c r="C845" t="str">
        <f t="shared" si="57"/>
        <v>3호</v>
      </c>
      <c r="D845" t="str">
        <f t="shared" si="59"/>
        <v>11</v>
      </c>
      <c r="E845" t="str">
        <f t="shared" si="58"/>
        <v>2163호11</v>
      </c>
    </row>
    <row r="846" spans="1:5" ht="16.5" customHeight="1" x14ac:dyDescent="0.4">
      <c r="A846">
        <v>216</v>
      </c>
      <c r="B846" s="11">
        <v>1104</v>
      </c>
      <c r="C846" t="str">
        <f t="shared" si="57"/>
        <v>4호</v>
      </c>
      <c r="D846" t="str">
        <f t="shared" si="59"/>
        <v>11</v>
      </c>
      <c r="E846" t="str">
        <f t="shared" si="58"/>
        <v>2164호11</v>
      </c>
    </row>
    <row r="847" spans="1:5" ht="16.5" customHeight="1" x14ac:dyDescent="0.4">
      <c r="A847">
        <v>216</v>
      </c>
      <c r="B847" s="11">
        <v>1105</v>
      </c>
      <c r="C847" t="str">
        <f t="shared" si="57"/>
        <v>5호</v>
      </c>
      <c r="D847" t="str">
        <f t="shared" si="59"/>
        <v>11</v>
      </c>
      <c r="E847" t="str">
        <f t="shared" si="58"/>
        <v>2165호11</v>
      </c>
    </row>
    <row r="848" spans="1:5" ht="16.5" customHeight="1" x14ac:dyDescent="0.4">
      <c r="A848">
        <v>216</v>
      </c>
      <c r="B848" s="11">
        <v>1203</v>
      </c>
      <c r="C848" t="str">
        <f t="shared" si="57"/>
        <v>3호</v>
      </c>
      <c r="D848" t="str">
        <f t="shared" si="59"/>
        <v>12</v>
      </c>
      <c r="E848" t="str">
        <f t="shared" si="58"/>
        <v>2163호12</v>
      </c>
    </row>
    <row r="849" spans="1:5" ht="16.5" customHeight="1" x14ac:dyDescent="0.4">
      <c r="A849">
        <v>216</v>
      </c>
      <c r="B849" s="11">
        <v>1204</v>
      </c>
      <c r="C849" t="str">
        <f t="shared" si="57"/>
        <v>4호</v>
      </c>
      <c r="D849" t="str">
        <f t="shared" si="59"/>
        <v>12</v>
      </c>
      <c r="E849" t="str">
        <f t="shared" si="58"/>
        <v>2164호12</v>
      </c>
    </row>
    <row r="850" spans="1:5" ht="16.5" customHeight="1" x14ac:dyDescent="0.4">
      <c r="A850">
        <v>216</v>
      </c>
      <c r="B850" s="11">
        <v>1205</v>
      </c>
      <c r="C850" t="str">
        <f t="shared" si="57"/>
        <v>5호</v>
      </c>
      <c r="D850" t="str">
        <f t="shared" si="59"/>
        <v>12</v>
      </c>
      <c r="E850" t="str">
        <f t="shared" si="58"/>
        <v>2165호12</v>
      </c>
    </row>
    <row r="851" spans="1:5" ht="16.5" customHeight="1" x14ac:dyDescent="0.4">
      <c r="A851">
        <v>216</v>
      </c>
      <c r="B851" s="11">
        <v>1303</v>
      </c>
      <c r="C851" t="str">
        <f t="shared" si="57"/>
        <v>3호</v>
      </c>
      <c r="D851" t="str">
        <f t="shared" si="59"/>
        <v>13</v>
      </c>
      <c r="E851" t="str">
        <f t="shared" si="58"/>
        <v>2163호13</v>
      </c>
    </row>
    <row r="852" spans="1:5" ht="16.5" customHeight="1" x14ac:dyDescent="0.4">
      <c r="A852">
        <v>216</v>
      </c>
      <c r="B852" s="11">
        <v>1304</v>
      </c>
      <c r="C852" t="str">
        <f t="shared" si="57"/>
        <v>4호</v>
      </c>
      <c r="D852" t="str">
        <f t="shared" si="59"/>
        <v>13</v>
      </c>
      <c r="E852" t="str">
        <f t="shared" si="58"/>
        <v>2164호13</v>
      </c>
    </row>
    <row r="853" spans="1:5" ht="16.5" customHeight="1" x14ac:dyDescent="0.4">
      <c r="A853">
        <v>216</v>
      </c>
      <c r="B853" s="11">
        <v>1305</v>
      </c>
      <c r="C853" t="str">
        <f t="shared" si="57"/>
        <v>5호</v>
      </c>
      <c r="D853" t="str">
        <f t="shared" si="59"/>
        <v>13</v>
      </c>
      <c r="E853" t="str">
        <f t="shared" si="58"/>
        <v>2165호13</v>
      </c>
    </row>
    <row r="854" spans="1:5" ht="16.5" customHeight="1" x14ac:dyDescent="0.4">
      <c r="A854">
        <v>216</v>
      </c>
      <c r="B854" s="11">
        <v>1403</v>
      </c>
      <c r="C854" t="str">
        <f t="shared" si="57"/>
        <v>3호</v>
      </c>
      <c r="D854" t="str">
        <f t="shared" si="59"/>
        <v>14</v>
      </c>
      <c r="E854" t="str">
        <f t="shared" si="58"/>
        <v>2163호14</v>
      </c>
    </row>
    <row r="855" spans="1:5" ht="16.5" customHeight="1" x14ac:dyDescent="0.4">
      <c r="A855">
        <v>216</v>
      </c>
      <c r="B855" s="24">
        <v>1404</v>
      </c>
      <c r="C855" t="str">
        <f t="shared" si="57"/>
        <v>4호</v>
      </c>
      <c r="D855" t="str">
        <f t="shared" si="59"/>
        <v>14</v>
      </c>
      <c r="E855" t="str">
        <f t="shared" si="58"/>
        <v>2164호14</v>
      </c>
    </row>
    <row r="856" spans="1:5" ht="16.5" customHeight="1" x14ac:dyDescent="0.4">
      <c r="A856">
        <v>216</v>
      </c>
      <c r="B856" s="9">
        <v>1405</v>
      </c>
      <c r="C856" t="str">
        <f t="shared" si="57"/>
        <v>5호</v>
      </c>
      <c r="D856" t="str">
        <f t="shared" si="59"/>
        <v>14</v>
      </c>
      <c r="E856" t="str">
        <f t="shared" si="58"/>
        <v>2165호14</v>
      </c>
    </row>
    <row r="857" spans="1:5" ht="16.5" customHeight="1" x14ac:dyDescent="0.4">
      <c r="A857">
        <v>217</v>
      </c>
      <c r="B857" s="9">
        <v>101</v>
      </c>
      <c r="C857" t="str">
        <f t="shared" si="57"/>
        <v>1호</v>
      </c>
      <c r="D857" t="str">
        <f t="shared" ref="D857:D892" si="60">LEFT(B857,1)</f>
        <v>1</v>
      </c>
      <c r="E857" t="str">
        <f t="shared" si="58"/>
        <v>2171호1</v>
      </c>
    </row>
    <row r="858" spans="1:5" ht="16.5" customHeight="1" x14ac:dyDescent="0.4">
      <c r="A858">
        <v>217</v>
      </c>
      <c r="B858" s="9">
        <v>102</v>
      </c>
      <c r="C858" t="str">
        <f t="shared" si="57"/>
        <v>2호</v>
      </c>
      <c r="D858" t="str">
        <f t="shared" si="60"/>
        <v>1</v>
      </c>
      <c r="E858" t="str">
        <f t="shared" si="58"/>
        <v>2172호1</v>
      </c>
    </row>
    <row r="859" spans="1:5" ht="16.5" customHeight="1" x14ac:dyDescent="0.4">
      <c r="A859">
        <v>217</v>
      </c>
      <c r="B859" s="9">
        <v>103</v>
      </c>
      <c r="C859" t="str">
        <f t="shared" si="57"/>
        <v>3호</v>
      </c>
      <c r="D859" t="str">
        <f t="shared" si="60"/>
        <v>1</v>
      </c>
      <c r="E859" t="str">
        <f t="shared" si="58"/>
        <v>2173호1</v>
      </c>
    </row>
    <row r="860" spans="1:5" ht="16.5" customHeight="1" x14ac:dyDescent="0.4">
      <c r="A860">
        <v>217</v>
      </c>
      <c r="B860" s="9">
        <v>104</v>
      </c>
      <c r="C860" t="str">
        <f t="shared" si="57"/>
        <v>4호</v>
      </c>
      <c r="D860" t="str">
        <f t="shared" si="60"/>
        <v>1</v>
      </c>
      <c r="E860" t="str">
        <f t="shared" si="58"/>
        <v>2174호1</v>
      </c>
    </row>
    <row r="861" spans="1:5" ht="16.5" customHeight="1" x14ac:dyDescent="0.4">
      <c r="A861">
        <v>217</v>
      </c>
      <c r="B861" s="9">
        <v>201</v>
      </c>
      <c r="C861" t="str">
        <f t="shared" si="57"/>
        <v>1호</v>
      </c>
      <c r="D861" t="str">
        <f t="shared" si="60"/>
        <v>2</v>
      </c>
      <c r="E861" t="str">
        <f t="shared" si="58"/>
        <v>2171호2</v>
      </c>
    </row>
    <row r="862" spans="1:5" ht="16.5" customHeight="1" x14ac:dyDescent="0.4">
      <c r="A862">
        <v>217</v>
      </c>
      <c r="B862" s="9">
        <v>202</v>
      </c>
      <c r="C862" t="str">
        <f t="shared" si="57"/>
        <v>2호</v>
      </c>
      <c r="D862" t="str">
        <f t="shared" si="60"/>
        <v>2</v>
      </c>
      <c r="E862" t="str">
        <f t="shared" si="58"/>
        <v>2172호2</v>
      </c>
    </row>
    <row r="863" spans="1:5" ht="16.5" customHeight="1" x14ac:dyDescent="0.4">
      <c r="A863">
        <v>217</v>
      </c>
      <c r="B863" s="9">
        <v>203</v>
      </c>
      <c r="C863" t="str">
        <f t="shared" si="57"/>
        <v>3호</v>
      </c>
      <c r="D863" t="str">
        <f t="shared" si="60"/>
        <v>2</v>
      </c>
      <c r="E863" t="str">
        <f t="shared" si="58"/>
        <v>2173호2</v>
      </c>
    </row>
    <row r="864" spans="1:5" ht="16.5" customHeight="1" x14ac:dyDescent="0.4">
      <c r="A864">
        <v>217</v>
      </c>
      <c r="B864" s="9">
        <v>204</v>
      </c>
      <c r="C864" t="str">
        <f t="shared" si="57"/>
        <v>4호</v>
      </c>
      <c r="D864" t="str">
        <f t="shared" si="60"/>
        <v>2</v>
      </c>
      <c r="E864" t="str">
        <f t="shared" si="58"/>
        <v>2174호2</v>
      </c>
    </row>
    <row r="865" spans="1:5" ht="16.5" customHeight="1" x14ac:dyDescent="0.4">
      <c r="A865">
        <v>217</v>
      </c>
      <c r="B865" s="9">
        <v>301</v>
      </c>
      <c r="C865" t="str">
        <f t="shared" si="57"/>
        <v>1호</v>
      </c>
      <c r="D865" t="str">
        <f t="shared" si="60"/>
        <v>3</v>
      </c>
      <c r="E865" t="str">
        <f t="shared" si="58"/>
        <v>2171호3</v>
      </c>
    </row>
    <row r="866" spans="1:5" ht="16.5" customHeight="1" x14ac:dyDescent="0.4">
      <c r="A866">
        <v>217</v>
      </c>
      <c r="B866" s="9">
        <v>302</v>
      </c>
      <c r="C866" t="str">
        <f t="shared" si="57"/>
        <v>2호</v>
      </c>
      <c r="D866" t="str">
        <f t="shared" si="60"/>
        <v>3</v>
      </c>
      <c r="E866" t="str">
        <f t="shared" si="58"/>
        <v>2172호3</v>
      </c>
    </row>
    <row r="867" spans="1:5" ht="16.5" customHeight="1" x14ac:dyDescent="0.4">
      <c r="A867">
        <v>217</v>
      </c>
      <c r="B867" s="9">
        <v>303</v>
      </c>
      <c r="C867" t="str">
        <f t="shared" si="57"/>
        <v>3호</v>
      </c>
      <c r="D867" t="str">
        <f t="shared" si="60"/>
        <v>3</v>
      </c>
      <c r="E867" t="str">
        <f t="shared" si="58"/>
        <v>2173호3</v>
      </c>
    </row>
    <row r="868" spans="1:5" ht="16.5" customHeight="1" x14ac:dyDescent="0.4">
      <c r="A868">
        <v>217</v>
      </c>
      <c r="B868" s="9">
        <v>304</v>
      </c>
      <c r="C868" t="str">
        <f t="shared" si="57"/>
        <v>4호</v>
      </c>
      <c r="D868" t="str">
        <f t="shared" si="60"/>
        <v>3</v>
      </c>
      <c r="E868" t="str">
        <f t="shared" si="58"/>
        <v>2174호3</v>
      </c>
    </row>
    <row r="869" spans="1:5" ht="16.5" customHeight="1" x14ac:dyDescent="0.4">
      <c r="A869">
        <v>217</v>
      </c>
      <c r="B869" s="22">
        <v>401</v>
      </c>
      <c r="C869" t="str">
        <f t="shared" si="57"/>
        <v>1호</v>
      </c>
      <c r="D869" t="str">
        <f t="shared" si="60"/>
        <v>4</v>
      </c>
      <c r="E869" t="str">
        <f t="shared" si="58"/>
        <v>2171호4</v>
      </c>
    </row>
    <row r="870" spans="1:5" ht="16.5" customHeight="1" x14ac:dyDescent="0.4">
      <c r="A870">
        <v>217</v>
      </c>
      <c r="B870" s="11">
        <v>402</v>
      </c>
      <c r="C870" t="str">
        <f t="shared" si="57"/>
        <v>2호</v>
      </c>
      <c r="D870" t="str">
        <f t="shared" si="60"/>
        <v>4</v>
      </c>
      <c r="E870" t="str">
        <f t="shared" si="58"/>
        <v>2172호4</v>
      </c>
    </row>
    <row r="871" spans="1:5" ht="16.5" customHeight="1" x14ac:dyDescent="0.4">
      <c r="A871">
        <v>217</v>
      </c>
      <c r="B871" s="11">
        <v>403</v>
      </c>
      <c r="C871" t="str">
        <f t="shared" si="57"/>
        <v>3호</v>
      </c>
      <c r="D871" t="str">
        <f t="shared" si="60"/>
        <v>4</v>
      </c>
      <c r="E871" t="str">
        <f t="shared" si="58"/>
        <v>2173호4</v>
      </c>
    </row>
    <row r="872" spans="1:5" ht="16.5" customHeight="1" x14ac:dyDescent="0.4">
      <c r="A872">
        <v>217</v>
      </c>
      <c r="B872" s="11">
        <v>404</v>
      </c>
      <c r="C872" t="str">
        <f t="shared" si="57"/>
        <v>4호</v>
      </c>
      <c r="D872" t="str">
        <f t="shared" si="60"/>
        <v>4</v>
      </c>
      <c r="E872" t="str">
        <f t="shared" si="58"/>
        <v>2174호4</v>
      </c>
    </row>
    <row r="873" spans="1:5" ht="16.5" customHeight="1" x14ac:dyDescent="0.4">
      <c r="A873">
        <v>217</v>
      </c>
      <c r="B873" s="11">
        <v>501</v>
      </c>
      <c r="C873" t="str">
        <f t="shared" si="57"/>
        <v>1호</v>
      </c>
      <c r="D873" t="str">
        <f t="shared" si="60"/>
        <v>5</v>
      </c>
      <c r="E873" t="str">
        <f t="shared" si="58"/>
        <v>2171호5</v>
      </c>
    </row>
    <row r="874" spans="1:5" ht="16.5" customHeight="1" x14ac:dyDescent="0.4">
      <c r="A874">
        <v>217</v>
      </c>
      <c r="B874" s="11">
        <v>502</v>
      </c>
      <c r="C874" t="str">
        <f t="shared" si="57"/>
        <v>2호</v>
      </c>
      <c r="D874" t="str">
        <f t="shared" si="60"/>
        <v>5</v>
      </c>
      <c r="E874" t="str">
        <f t="shared" si="58"/>
        <v>2172호5</v>
      </c>
    </row>
    <row r="875" spans="1:5" ht="16.5" customHeight="1" x14ac:dyDescent="0.4">
      <c r="A875">
        <v>217</v>
      </c>
      <c r="B875" s="11">
        <v>503</v>
      </c>
      <c r="C875" t="str">
        <f t="shared" si="57"/>
        <v>3호</v>
      </c>
      <c r="D875" t="str">
        <f t="shared" si="60"/>
        <v>5</v>
      </c>
      <c r="E875" t="str">
        <f t="shared" si="58"/>
        <v>2173호5</v>
      </c>
    </row>
    <row r="876" spans="1:5" ht="16.5" customHeight="1" x14ac:dyDescent="0.4">
      <c r="A876">
        <v>217</v>
      </c>
      <c r="B876" s="11">
        <v>504</v>
      </c>
      <c r="C876" t="str">
        <f t="shared" si="57"/>
        <v>4호</v>
      </c>
      <c r="D876" t="str">
        <f t="shared" si="60"/>
        <v>5</v>
      </c>
      <c r="E876" t="str">
        <f t="shared" si="58"/>
        <v>2174호5</v>
      </c>
    </row>
    <row r="877" spans="1:5" ht="16.5" customHeight="1" x14ac:dyDescent="0.4">
      <c r="A877">
        <v>217</v>
      </c>
      <c r="B877" s="11">
        <v>601</v>
      </c>
      <c r="C877" t="str">
        <f t="shared" si="57"/>
        <v>1호</v>
      </c>
      <c r="D877" t="str">
        <f t="shared" si="60"/>
        <v>6</v>
      </c>
      <c r="E877" t="str">
        <f t="shared" si="58"/>
        <v>2171호6</v>
      </c>
    </row>
    <row r="878" spans="1:5" ht="16.5" customHeight="1" x14ac:dyDescent="0.4">
      <c r="A878">
        <v>217</v>
      </c>
      <c r="B878" s="11">
        <v>602</v>
      </c>
      <c r="C878" t="str">
        <f t="shared" si="57"/>
        <v>2호</v>
      </c>
      <c r="D878" t="str">
        <f t="shared" si="60"/>
        <v>6</v>
      </c>
      <c r="E878" t="str">
        <f t="shared" si="58"/>
        <v>2172호6</v>
      </c>
    </row>
    <row r="879" spans="1:5" ht="16.5" customHeight="1" x14ac:dyDescent="0.4">
      <c r="A879">
        <v>217</v>
      </c>
      <c r="B879" s="11">
        <v>603</v>
      </c>
      <c r="C879" t="str">
        <f t="shared" si="57"/>
        <v>3호</v>
      </c>
      <c r="D879" t="str">
        <f t="shared" si="60"/>
        <v>6</v>
      </c>
      <c r="E879" t="str">
        <f t="shared" si="58"/>
        <v>2173호6</v>
      </c>
    </row>
    <row r="880" spans="1:5" ht="16.5" customHeight="1" x14ac:dyDescent="0.4">
      <c r="A880">
        <v>217</v>
      </c>
      <c r="B880" s="11">
        <v>604</v>
      </c>
      <c r="C880" t="str">
        <f t="shared" si="57"/>
        <v>4호</v>
      </c>
      <c r="D880" t="str">
        <f t="shared" si="60"/>
        <v>6</v>
      </c>
      <c r="E880" t="str">
        <f t="shared" si="58"/>
        <v>2174호6</v>
      </c>
    </row>
    <row r="881" spans="1:5" ht="16.5" customHeight="1" x14ac:dyDescent="0.4">
      <c r="A881">
        <v>217</v>
      </c>
      <c r="B881" s="11">
        <v>701</v>
      </c>
      <c r="C881" t="str">
        <f t="shared" si="57"/>
        <v>1호</v>
      </c>
      <c r="D881" t="str">
        <f t="shared" si="60"/>
        <v>7</v>
      </c>
      <c r="E881" t="str">
        <f t="shared" si="58"/>
        <v>2171호7</v>
      </c>
    </row>
    <row r="882" spans="1:5" ht="16.5" customHeight="1" x14ac:dyDescent="0.4">
      <c r="A882">
        <v>217</v>
      </c>
      <c r="B882" s="11">
        <v>702</v>
      </c>
      <c r="C882" t="str">
        <f t="shared" si="57"/>
        <v>2호</v>
      </c>
      <c r="D882" t="str">
        <f t="shared" si="60"/>
        <v>7</v>
      </c>
      <c r="E882" t="str">
        <f t="shared" si="58"/>
        <v>2172호7</v>
      </c>
    </row>
    <row r="883" spans="1:5" ht="16.5" customHeight="1" x14ac:dyDescent="0.4">
      <c r="A883">
        <v>217</v>
      </c>
      <c r="B883" s="24">
        <v>703</v>
      </c>
      <c r="C883" t="str">
        <f t="shared" si="57"/>
        <v>3호</v>
      </c>
      <c r="D883" t="str">
        <f t="shared" si="60"/>
        <v>7</v>
      </c>
      <c r="E883" t="str">
        <f t="shared" si="58"/>
        <v>2173호7</v>
      </c>
    </row>
    <row r="884" spans="1:5" ht="16.5" customHeight="1" x14ac:dyDescent="0.4">
      <c r="A884">
        <v>217</v>
      </c>
      <c r="B884" s="11">
        <v>704</v>
      </c>
      <c r="C884" t="str">
        <f t="shared" si="57"/>
        <v>4호</v>
      </c>
      <c r="D884" t="str">
        <f t="shared" si="60"/>
        <v>7</v>
      </c>
      <c r="E884" t="str">
        <f t="shared" si="58"/>
        <v>2174호7</v>
      </c>
    </row>
    <row r="885" spans="1:5" ht="16.5" customHeight="1" x14ac:dyDescent="0.4">
      <c r="A885">
        <v>217</v>
      </c>
      <c r="B885" s="11">
        <v>801</v>
      </c>
      <c r="C885" t="str">
        <f t="shared" si="57"/>
        <v>1호</v>
      </c>
      <c r="D885" t="str">
        <f t="shared" si="60"/>
        <v>8</v>
      </c>
      <c r="E885" t="str">
        <f t="shared" si="58"/>
        <v>2171호8</v>
      </c>
    </row>
    <row r="886" spans="1:5" ht="16.5" customHeight="1" x14ac:dyDescent="0.4">
      <c r="A886">
        <v>217</v>
      </c>
      <c r="B886" s="11">
        <v>802</v>
      </c>
      <c r="C886" t="str">
        <f t="shared" si="57"/>
        <v>2호</v>
      </c>
      <c r="D886" t="str">
        <f t="shared" si="60"/>
        <v>8</v>
      </c>
      <c r="E886" t="str">
        <f t="shared" si="58"/>
        <v>2172호8</v>
      </c>
    </row>
    <row r="887" spans="1:5" ht="16.5" customHeight="1" x14ac:dyDescent="0.4">
      <c r="A887">
        <v>217</v>
      </c>
      <c r="B887" s="11">
        <v>803</v>
      </c>
      <c r="C887" t="str">
        <f t="shared" si="57"/>
        <v>3호</v>
      </c>
      <c r="D887" t="str">
        <f t="shared" si="60"/>
        <v>8</v>
      </c>
      <c r="E887" t="str">
        <f t="shared" si="58"/>
        <v>2173호8</v>
      </c>
    </row>
    <row r="888" spans="1:5" ht="16.5" customHeight="1" x14ac:dyDescent="0.4">
      <c r="A888">
        <v>217</v>
      </c>
      <c r="B888" s="11">
        <v>804</v>
      </c>
      <c r="C888" t="str">
        <f t="shared" si="57"/>
        <v>4호</v>
      </c>
      <c r="D888" t="str">
        <f t="shared" si="60"/>
        <v>8</v>
      </c>
      <c r="E888" t="str">
        <f t="shared" si="58"/>
        <v>2174호8</v>
      </c>
    </row>
    <row r="889" spans="1:5" ht="16.5" customHeight="1" x14ac:dyDescent="0.4">
      <c r="A889">
        <v>217</v>
      </c>
      <c r="B889" s="11">
        <v>901</v>
      </c>
      <c r="C889" t="str">
        <f t="shared" si="57"/>
        <v>1호</v>
      </c>
      <c r="D889" t="str">
        <f t="shared" si="60"/>
        <v>9</v>
      </c>
      <c r="E889" t="str">
        <f t="shared" si="58"/>
        <v>2171호9</v>
      </c>
    </row>
    <row r="890" spans="1:5" ht="16.5" customHeight="1" x14ac:dyDescent="0.4">
      <c r="A890">
        <v>217</v>
      </c>
      <c r="B890" s="11">
        <v>902</v>
      </c>
      <c r="C890" t="str">
        <f t="shared" si="57"/>
        <v>2호</v>
      </c>
      <c r="D890" t="str">
        <f t="shared" si="60"/>
        <v>9</v>
      </c>
      <c r="E890" t="str">
        <f t="shared" si="58"/>
        <v>2172호9</v>
      </c>
    </row>
    <row r="891" spans="1:5" ht="16.5" customHeight="1" x14ac:dyDescent="0.4">
      <c r="A891">
        <v>217</v>
      </c>
      <c r="B891" s="11">
        <v>903</v>
      </c>
      <c r="C891" t="str">
        <f t="shared" si="57"/>
        <v>3호</v>
      </c>
      <c r="D891" t="str">
        <f t="shared" si="60"/>
        <v>9</v>
      </c>
      <c r="E891" t="str">
        <f t="shared" si="58"/>
        <v>2173호9</v>
      </c>
    </row>
    <row r="892" spans="1:5" ht="16.5" customHeight="1" x14ac:dyDescent="0.4">
      <c r="A892">
        <v>217</v>
      </c>
      <c r="B892" s="11">
        <v>904</v>
      </c>
      <c r="C892" t="str">
        <f t="shared" si="57"/>
        <v>4호</v>
      </c>
      <c r="D892" t="str">
        <f t="shared" si="60"/>
        <v>9</v>
      </c>
      <c r="E892" t="str">
        <f t="shared" si="58"/>
        <v>2174호9</v>
      </c>
    </row>
    <row r="893" spans="1:5" ht="16.5" customHeight="1" x14ac:dyDescent="0.4">
      <c r="A893">
        <v>217</v>
      </c>
      <c r="B893" s="11">
        <v>1001</v>
      </c>
      <c r="C893" t="str">
        <f t="shared" si="57"/>
        <v>1호</v>
      </c>
      <c r="D893" t="str">
        <f t="shared" ref="D893:D912" si="61">LEFT(B893,2)</f>
        <v>10</v>
      </c>
      <c r="E893" t="str">
        <f t="shared" si="58"/>
        <v>2171호10</v>
      </c>
    </row>
    <row r="894" spans="1:5" ht="16.5" customHeight="1" x14ac:dyDescent="0.4">
      <c r="A894">
        <v>217</v>
      </c>
      <c r="B894" s="11">
        <v>1002</v>
      </c>
      <c r="C894" t="str">
        <f t="shared" si="57"/>
        <v>2호</v>
      </c>
      <c r="D894" t="str">
        <f t="shared" si="61"/>
        <v>10</v>
      </c>
      <c r="E894" t="str">
        <f t="shared" si="58"/>
        <v>2172호10</v>
      </c>
    </row>
    <row r="895" spans="1:5" ht="16.5" customHeight="1" x14ac:dyDescent="0.4">
      <c r="A895">
        <v>217</v>
      </c>
      <c r="B895" s="11">
        <v>1003</v>
      </c>
      <c r="C895" t="str">
        <f t="shared" si="57"/>
        <v>3호</v>
      </c>
      <c r="D895" t="str">
        <f t="shared" si="61"/>
        <v>10</v>
      </c>
      <c r="E895" t="str">
        <f t="shared" si="58"/>
        <v>2173호10</v>
      </c>
    </row>
    <row r="896" spans="1:5" ht="16.5" customHeight="1" x14ac:dyDescent="0.4">
      <c r="A896">
        <v>217</v>
      </c>
      <c r="B896" s="11">
        <v>1004</v>
      </c>
      <c r="C896" t="str">
        <f t="shared" si="57"/>
        <v>4호</v>
      </c>
      <c r="D896" t="str">
        <f t="shared" si="61"/>
        <v>10</v>
      </c>
      <c r="E896" t="str">
        <f t="shared" si="58"/>
        <v>2174호10</v>
      </c>
    </row>
    <row r="897" spans="1:5" ht="16.5" customHeight="1" x14ac:dyDescent="0.4">
      <c r="A897">
        <v>217</v>
      </c>
      <c r="B897" s="24">
        <v>1101</v>
      </c>
      <c r="C897" t="str">
        <f t="shared" si="57"/>
        <v>1호</v>
      </c>
      <c r="D897" t="str">
        <f t="shared" si="61"/>
        <v>11</v>
      </c>
      <c r="E897" t="str">
        <f t="shared" si="58"/>
        <v>2171호11</v>
      </c>
    </row>
    <row r="898" spans="1:5" ht="16.5" customHeight="1" x14ac:dyDescent="0.4">
      <c r="A898">
        <v>217</v>
      </c>
      <c r="B898" s="11">
        <v>1102</v>
      </c>
      <c r="C898" t="str">
        <f t="shared" si="57"/>
        <v>2호</v>
      </c>
      <c r="D898" t="str">
        <f t="shared" si="61"/>
        <v>11</v>
      </c>
      <c r="E898" t="str">
        <f t="shared" si="58"/>
        <v>2172호11</v>
      </c>
    </row>
    <row r="899" spans="1:5" ht="16.5" customHeight="1" x14ac:dyDescent="0.4">
      <c r="A899">
        <v>217</v>
      </c>
      <c r="B899" s="11">
        <v>1103</v>
      </c>
      <c r="C899" t="str">
        <f t="shared" si="57"/>
        <v>3호</v>
      </c>
      <c r="D899" t="str">
        <f t="shared" si="61"/>
        <v>11</v>
      </c>
      <c r="E899" t="str">
        <f t="shared" si="58"/>
        <v>2173호11</v>
      </c>
    </row>
    <row r="900" spans="1:5" ht="16.5" customHeight="1" x14ac:dyDescent="0.4">
      <c r="A900">
        <v>217</v>
      </c>
      <c r="B900" s="11">
        <v>1104</v>
      </c>
      <c r="C900" t="str">
        <f t="shared" ref="C900:C963" si="62">RIGHT(B900,1)&amp;"호"</f>
        <v>4호</v>
      </c>
      <c r="D900" t="str">
        <f t="shared" si="61"/>
        <v>11</v>
      </c>
      <c r="E900" t="str">
        <f t="shared" ref="E900:E963" si="63">A900&amp;C900&amp;D900</f>
        <v>2174호11</v>
      </c>
    </row>
    <row r="901" spans="1:5" ht="16.5" customHeight="1" x14ac:dyDescent="0.4">
      <c r="A901">
        <v>217</v>
      </c>
      <c r="B901" s="11">
        <v>1201</v>
      </c>
      <c r="C901" t="str">
        <f t="shared" si="62"/>
        <v>1호</v>
      </c>
      <c r="D901" t="str">
        <f t="shared" si="61"/>
        <v>12</v>
      </c>
      <c r="E901" t="str">
        <f t="shared" si="63"/>
        <v>2171호12</v>
      </c>
    </row>
    <row r="902" spans="1:5" ht="16.5" customHeight="1" x14ac:dyDescent="0.4">
      <c r="A902">
        <v>217</v>
      </c>
      <c r="B902" s="11">
        <v>1202</v>
      </c>
      <c r="C902" t="str">
        <f t="shared" si="62"/>
        <v>2호</v>
      </c>
      <c r="D902" t="str">
        <f t="shared" si="61"/>
        <v>12</v>
      </c>
      <c r="E902" t="str">
        <f t="shared" si="63"/>
        <v>2172호12</v>
      </c>
    </row>
    <row r="903" spans="1:5" ht="16.5" customHeight="1" x14ac:dyDescent="0.4">
      <c r="A903">
        <v>217</v>
      </c>
      <c r="B903" s="11">
        <v>1203</v>
      </c>
      <c r="C903" t="str">
        <f t="shared" si="62"/>
        <v>3호</v>
      </c>
      <c r="D903" t="str">
        <f t="shared" si="61"/>
        <v>12</v>
      </c>
      <c r="E903" t="str">
        <f t="shared" si="63"/>
        <v>2173호12</v>
      </c>
    </row>
    <row r="904" spans="1:5" ht="16.5" customHeight="1" x14ac:dyDescent="0.4">
      <c r="A904">
        <v>217</v>
      </c>
      <c r="B904" s="11">
        <v>1204</v>
      </c>
      <c r="C904" t="str">
        <f t="shared" si="62"/>
        <v>4호</v>
      </c>
      <c r="D904" t="str">
        <f t="shared" si="61"/>
        <v>12</v>
      </c>
      <c r="E904" t="str">
        <f t="shared" si="63"/>
        <v>2174호12</v>
      </c>
    </row>
    <row r="905" spans="1:5" ht="16.5" customHeight="1" x14ac:dyDescent="0.4">
      <c r="A905">
        <v>217</v>
      </c>
      <c r="B905" s="11">
        <v>1301</v>
      </c>
      <c r="C905" t="str">
        <f t="shared" si="62"/>
        <v>1호</v>
      </c>
      <c r="D905" t="str">
        <f t="shared" si="61"/>
        <v>13</v>
      </c>
      <c r="E905" t="str">
        <f t="shared" si="63"/>
        <v>2171호13</v>
      </c>
    </row>
    <row r="906" spans="1:5" ht="16.5" customHeight="1" x14ac:dyDescent="0.4">
      <c r="A906">
        <v>217</v>
      </c>
      <c r="B906" s="11">
        <v>1302</v>
      </c>
      <c r="C906" t="str">
        <f t="shared" si="62"/>
        <v>2호</v>
      </c>
      <c r="D906" t="str">
        <f t="shared" si="61"/>
        <v>13</v>
      </c>
      <c r="E906" t="str">
        <f t="shared" si="63"/>
        <v>2172호13</v>
      </c>
    </row>
    <row r="907" spans="1:5" ht="16.5" customHeight="1" x14ac:dyDescent="0.4">
      <c r="A907">
        <v>217</v>
      </c>
      <c r="B907" s="11">
        <v>1303</v>
      </c>
      <c r="C907" t="str">
        <f t="shared" si="62"/>
        <v>3호</v>
      </c>
      <c r="D907" t="str">
        <f t="shared" si="61"/>
        <v>13</v>
      </c>
      <c r="E907" t="str">
        <f t="shared" si="63"/>
        <v>2173호13</v>
      </c>
    </row>
    <row r="908" spans="1:5" ht="16.5" customHeight="1" x14ac:dyDescent="0.4">
      <c r="A908">
        <v>217</v>
      </c>
      <c r="B908" s="11">
        <v>1304</v>
      </c>
      <c r="C908" t="str">
        <f t="shared" si="62"/>
        <v>4호</v>
      </c>
      <c r="D908" t="str">
        <f t="shared" si="61"/>
        <v>13</v>
      </c>
      <c r="E908" t="str">
        <f t="shared" si="63"/>
        <v>2174호13</v>
      </c>
    </row>
    <row r="909" spans="1:5" ht="16.5" customHeight="1" x14ac:dyDescent="0.4">
      <c r="A909">
        <v>217</v>
      </c>
      <c r="B909" s="11">
        <v>1401</v>
      </c>
      <c r="C909" t="str">
        <f t="shared" si="62"/>
        <v>1호</v>
      </c>
      <c r="D909" t="str">
        <f t="shared" si="61"/>
        <v>14</v>
      </c>
      <c r="E909" t="str">
        <f t="shared" si="63"/>
        <v>2171호14</v>
      </c>
    </row>
    <row r="910" spans="1:5" ht="16.5" customHeight="1" x14ac:dyDescent="0.4">
      <c r="A910">
        <v>217</v>
      </c>
      <c r="B910" s="11">
        <v>1402</v>
      </c>
      <c r="C910" t="str">
        <f t="shared" si="62"/>
        <v>2호</v>
      </c>
      <c r="D910" t="str">
        <f t="shared" si="61"/>
        <v>14</v>
      </c>
      <c r="E910" t="str">
        <f t="shared" si="63"/>
        <v>2172호14</v>
      </c>
    </row>
    <row r="911" spans="1:5" ht="16.5" customHeight="1" x14ac:dyDescent="0.4">
      <c r="A911">
        <v>217</v>
      </c>
      <c r="B911" s="24">
        <v>1403</v>
      </c>
      <c r="C911" t="str">
        <f t="shared" si="62"/>
        <v>3호</v>
      </c>
      <c r="D911" t="str">
        <f t="shared" si="61"/>
        <v>14</v>
      </c>
      <c r="E911" t="str">
        <f t="shared" si="63"/>
        <v>2173호14</v>
      </c>
    </row>
    <row r="912" spans="1:5" ht="16.5" customHeight="1" x14ac:dyDescent="0.4">
      <c r="A912">
        <v>217</v>
      </c>
      <c r="B912" s="9">
        <v>1404</v>
      </c>
      <c r="C912" t="str">
        <f t="shared" si="62"/>
        <v>4호</v>
      </c>
      <c r="D912" t="str">
        <f t="shared" si="61"/>
        <v>14</v>
      </c>
      <c r="E912" t="str">
        <f t="shared" si="63"/>
        <v>2174호14</v>
      </c>
    </row>
    <row r="913" spans="1:5" ht="16.5" customHeight="1" x14ac:dyDescent="0.4">
      <c r="A913">
        <v>218</v>
      </c>
      <c r="B913" s="9">
        <v>101</v>
      </c>
      <c r="C913" t="str">
        <f t="shared" si="62"/>
        <v>1호</v>
      </c>
      <c r="D913" t="str">
        <f t="shared" ref="D913:D948" si="64">LEFT(B913,1)</f>
        <v>1</v>
      </c>
      <c r="E913" t="str">
        <f t="shared" si="63"/>
        <v>2181호1</v>
      </c>
    </row>
    <row r="914" spans="1:5" ht="16.5" customHeight="1" x14ac:dyDescent="0.4">
      <c r="A914">
        <v>218</v>
      </c>
      <c r="B914" s="9">
        <v>102</v>
      </c>
      <c r="C914" t="str">
        <f t="shared" si="62"/>
        <v>2호</v>
      </c>
      <c r="D914" t="str">
        <f t="shared" si="64"/>
        <v>1</v>
      </c>
      <c r="E914" t="str">
        <f t="shared" si="63"/>
        <v>2182호1</v>
      </c>
    </row>
    <row r="915" spans="1:5" ht="16.5" customHeight="1" x14ac:dyDescent="0.4">
      <c r="A915">
        <v>218</v>
      </c>
      <c r="B915" s="9">
        <v>103</v>
      </c>
      <c r="C915" t="str">
        <f t="shared" si="62"/>
        <v>3호</v>
      </c>
      <c r="D915" t="str">
        <f t="shared" si="64"/>
        <v>1</v>
      </c>
      <c r="E915" t="str">
        <f t="shared" si="63"/>
        <v>2183호1</v>
      </c>
    </row>
    <row r="916" spans="1:5" ht="16.5" customHeight="1" x14ac:dyDescent="0.4">
      <c r="A916">
        <v>218</v>
      </c>
      <c r="B916" s="9">
        <v>104</v>
      </c>
      <c r="C916" t="str">
        <f t="shared" si="62"/>
        <v>4호</v>
      </c>
      <c r="D916" t="str">
        <f t="shared" si="64"/>
        <v>1</v>
      </c>
      <c r="E916" t="str">
        <f t="shared" si="63"/>
        <v>2184호1</v>
      </c>
    </row>
    <row r="917" spans="1:5" ht="16.5" customHeight="1" x14ac:dyDescent="0.4">
      <c r="A917">
        <v>218</v>
      </c>
      <c r="B917" s="9">
        <v>201</v>
      </c>
      <c r="C917" t="str">
        <f t="shared" si="62"/>
        <v>1호</v>
      </c>
      <c r="D917" t="str">
        <f t="shared" si="64"/>
        <v>2</v>
      </c>
      <c r="E917" t="str">
        <f t="shared" si="63"/>
        <v>2181호2</v>
      </c>
    </row>
    <row r="918" spans="1:5" ht="16.5" customHeight="1" x14ac:dyDescent="0.4">
      <c r="A918">
        <v>218</v>
      </c>
      <c r="B918" s="9">
        <v>202</v>
      </c>
      <c r="C918" t="str">
        <f t="shared" si="62"/>
        <v>2호</v>
      </c>
      <c r="D918" t="str">
        <f t="shared" si="64"/>
        <v>2</v>
      </c>
      <c r="E918" t="str">
        <f t="shared" si="63"/>
        <v>2182호2</v>
      </c>
    </row>
    <row r="919" spans="1:5" ht="16.5" customHeight="1" x14ac:dyDescent="0.4">
      <c r="A919">
        <v>218</v>
      </c>
      <c r="B919" s="9">
        <v>203</v>
      </c>
      <c r="C919" t="str">
        <f t="shared" si="62"/>
        <v>3호</v>
      </c>
      <c r="D919" t="str">
        <f t="shared" si="64"/>
        <v>2</v>
      </c>
      <c r="E919" t="str">
        <f t="shared" si="63"/>
        <v>2183호2</v>
      </c>
    </row>
    <row r="920" spans="1:5" ht="16.5" customHeight="1" x14ac:dyDescent="0.4">
      <c r="A920">
        <v>218</v>
      </c>
      <c r="B920" s="9">
        <v>204</v>
      </c>
      <c r="C920" t="str">
        <f t="shared" si="62"/>
        <v>4호</v>
      </c>
      <c r="D920" t="str">
        <f t="shared" si="64"/>
        <v>2</v>
      </c>
      <c r="E920" t="str">
        <f t="shared" si="63"/>
        <v>2184호2</v>
      </c>
    </row>
    <row r="921" spans="1:5" ht="16.5" customHeight="1" x14ac:dyDescent="0.4">
      <c r="A921">
        <v>218</v>
      </c>
      <c r="B921" s="9">
        <v>301</v>
      </c>
      <c r="C921" t="str">
        <f t="shared" si="62"/>
        <v>1호</v>
      </c>
      <c r="D921" t="str">
        <f t="shared" si="64"/>
        <v>3</v>
      </c>
      <c r="E921" t="str">
        <f t="shared" si="63"/>
        <v>2181호3</v>
      </c>
    </row>
    <row r="922" spans="1:5" ht="16.5" customHeight="1" x14ac:dyDescent="0.4">
      <c r="A922">
        <v>218</v>
      </c>
      <c r="B922" s="9">
        <v>302</v>
      </c>
      <c r="C922" t="str">
        <f t="shared" si="62"/>
        <v>2호</v>
      </c>
      <c r="D922" t="str">
        <f t="shared" si="64"/>
        <v>3</v>
      </c>
      <c r="E922" t="str">
        <f t="shared" si="63"/>
        <v>2182호3</v>
      </c>
    </row>
    <row r="923" spans="1:5" ht="16.5" customHeight="1" x14ac:dyDescent="0.4">
      <c r="A923">
        <v>218</v>
      </c>
      <c r="B923" s="9">
        <v>303</v>
      </c>
      <c r="C923" t="str">
        <f t="shared" si="62"/>
        <v>3호</v>
      </c>
      <c r="D923" t="str">
        <f t="shared" si="64"/>
        <v>3</v>
      </c>
      <c r="E923" t="str">
        <f t="shared" si="63"/>
        <v>2183호3</v>
      </c>
    </row>
    <row r="924" spans="1:5" ht="16.5" customHeight="1" x14ac:dyDescent="0.4">
      <c r="A924">
        <v>218</v>
      </c>
      <c r="B924" s="22">
        <v>304</v>
      </c>
      <c r="C924" t="str">
        <f t="shared" si="62"/>
        <v>4호</v>
      </c>
      <c r="D924" t="str">
        <f t="shared" si="64"/>
        <v>3</v>
      </c>
      <c r="E924" t="str">
        <f t="shared" si="63"/>
        <v>2184호3</v>
      </c>
    </row>
    <row r="925" spans="1:5" ht="16.5" customHeight="1" x14ac:dyDescent="0.4">
      <c r="A925">
        <v>218</v>
      </c>
      <c r="B925" s="11">
        <v>401</v>
      </c>
      <c r="C925" t="str">
        <f t="shared" si="62"/>
        <v>1호</v>
      </c>
      <c r="D925" t="str">
        <f t="shared" si="64"/>
        <v>4</v>
      </c>
      <c r="E925" t="str">
        <f t="shared" si="63"/>
        <v>2181호4</v>
      </c>
    </row>
    <row r="926" spans="1:5" ht="16.5" customHeight="1" x14ac:dyDescent="0.4">
      <c r="A926">
        <v>218</v>
      </c>
      <c r="B926" s="11">
        <v>402</v>
      </c>
      <c r="C926" t="str">
        <f t="shared" si="62"/>
        <v>2호</v>
      </c>
      <c r="D926" t="str">
        <f t="shared" si="64"/>
        <v>4</v>
      </c>
      <c r="E926" t="str">
        <f t="shared" si="63"/>
        <v>2182호4</v>
      </c>
    </row>
    <row r="927" spans="1:5" ht="16.5" customHeight="1" x14ac:dyDescent="0.4">
      <c r="A927">
        <v>218</v>
      </c>
      <c r="B927" s="11">
        <v>403</v>
      </c>
      <c r="C927" t="str">
        <f t="shared" si="62"/>
        <v>3호</v>
      </c>
      <c r="D927" t="str">
        <f t="shared" si="64"/>
        <v>4</v>
      </c>
      <c r="E927" t="str">
        <f t="shared" si="63"/>
        <v>2183호4</v>
      </c>
    </row>
    <row r="928" spans="1:5" ht="16.5" customHeight="1" x14ac:dyDescent="0.4">
      <c r="A928">
        <v>218</v>
      </c>
      <c r="B928" s="11">
        <v>404</v>
      </c>
      <c r="C928" t="str">
        <f t="shared" si="62"/>
        <v>4호</v>
      </c>
      <c r="D928" t="str">
        <f t="shared" si="64"/>
        <v>4</v>
      </c>
      <c r="E928" t="str">
        <f t="shared" si="63"/>
        <v>2184호4</v>
      </c>
    </row>
    <row r="929" spans="1:5" ht="16.5" customHeight="1" x14ac:dyDescent="0.4">
      <c r="A929">
        <v>218</v>
      </c>
      <c r="B929" s="11">
        <v>501</v>
      </c>
      <c r="C929" t="str">
        <f t="shared" si="62"/>
        <v>1호</v>
      </c>
      <c r="D929" t="str">
        <f t="shared" si="64"/>
        <v>5</v>
      </c>
      <c r="E929" t="str">
        <f t="shared" si="63"/>
        <v>2181호5</v>
      </c>
    </row>
    <row r="930" spans="1:5" ht="16.5" customHeight="1" x14ac:dyDescent="0.4">
      <c r="A930">
        <v>218</v>
      </c>
      <c r="B930" s="11">
        <v>502</v>
      </c>
      <c r="C930" t="str">
        <f t="shared" si="62"/>
        <v>2호</v>
      </c>
      <c r="D930" t="str">
        <f t="shared" si="64"/>
        <v>5</v>
      </c>
      <c r="E930" t="str">
        <f t="shared" si="63"/>
        <v>2182호5</v>
      </c>
    </row>
    <row r="931" spans="1:5" ht="16.5" customHeight="1" x14ac:dyDescent="0.4">
      <c r="A931">
        <v>218</v>
      </c>
      <c r="B931" s="11">
        <v>503</v>
      </c>
      <c r="C931" t="str">
        <f t="shared" si="62"/>
        <v>3호</v>
      </c>
      <c r="D931" t="str">
        <f t="shared" si="64"/>
        <v>5</v>
      </c>
      <c r="E931" t="str">
        <f t="shared" si="63"/>
        <v>2183호5</v>
      </c>
    </row>
    <row r="932" spans="1:5" ht="16.5" customHeight="1" x14ac:dyDescent="0.4">
      <c r="A932">
        <v>218</v>
      </c>
      <c r="B932" s="11">
        <v>504</v>
      </c>
      <c r="C932" t="str">
        <f t="shared" si="62"/>
        <v>4호</v>
      </c>
      <c r="D932" t="str">
        <f t="shared" si="64"/>
        <v>5</v>
      </c>
      <c r="E932" t="str">
        <f t="shared" si="63"/>
        <v>2184호5</v>
      </c>
    </row>
    <row r="933" spans="1:5" ht="16.5" customHeight="1" x14ac:dyDescent="0.4">
      <c r="A933">
        <v>218</v>
      </c>
      <c r="B933" s="11">
        <v>601</v>
      </c>
      <c r="C933" t="str">
        <f t="shared" si="62"/>
        <v>1호</v>
      </c>
      <c r="D933" t="str">
        <f t="shared" si="64"/>
        <v>6</v>
      </c>
      <c r="E933" t="str">
        <f t="shared" si="63"/>
        <v>2181호6</v>
      </c>
    </row>
    <row r="934" spans="1:5" ht="16.5" customHeight="1" x14ac:dyDescent="0.4">
      <c r="A934">
        <v>218</v>
      </c>
      <c r="B934" s="11">
        <v>602</v>
      </c>
      <c r="C934" t="str">
        <f t="shared" si="62"/>
        <v>2호</v>
      </c>
      <c r="D934" t="str">
        <f t="shared" si="64"/>
        <v>6</v>
      </c>
      <c r="E934" t="str">
        <f t="shared" si="63"/>
        <v>2182호6</v>
      </c>
    </row>
    <row r="935" spans="1:5" ht="16.5" customHeight="1" x14ac:dyDescent="0.4">
      <c r="A935">
        <v>218</v>
      </c>
      <c r="B935" s="11">
        <v>603</v>
      </c>
      <c r="C935" t="str">
        <f t="shared" si="62"/>
        <v>3호</v>
      </c>
      <c r="D935" t="str">
        <f t="shared" si="64"/>
        <v>6</v>
      </c>
      <c r="E935" t="str">
        <f t="shared" si="63"/>
        <v>2183호6</v>
      </c>
    </row>
    <row r="936" spans="1:5" ht="16.5" customHeight="1" x14ac:dyDescent="0.4">
      <c r="A936">
        <v>218</v>
      </c>
      <c r="B936" s="11">
        <v>604</v>
      </c>
      <c r="C936" t="str">
        <f t="shared" si="62"/>
        <v>4호</v>
      </c>
      <c r="D936" t="str">
        <f t="shared" si="64"/>
        <v>6</v>
      </c>
      <c r="E936" t="str">
        <f t="shared" si="63"/>
        <v>2184호6</v>
      </c>
    </row>
    <row r="937" spans="1:5" ht="16.5" customHeight="1" x14ac:dyDescent="0.4">
      <c r="A937">
        <v>218</v>
      </c>
      <c r="B937" s="11">
        <v>701</v>
      </c>
      <c r="C937" t="str">
        <f t="shared" si="62"/>
        <v>1호</v>
      </c>
      <c r="D937" t="str">
        <f t="shared" si="64"/>
        <v>7</v>
      </c>
      <c r="E937" t="str">
        <f t="shared" si="63"/>
        <v>2181호7</v>
      </c>
    </row>
    <row r="938" spans="1:5" ht="16.5" customHeight="1" x14ac:dyDescent="0.4">
      <c r="A938">
        <v>218</v>
      </c>
      <c r="B938" s="24">
        <v>702</v>
      </c>
      <c r="C938" t="str">
        <f t="shared" si="62"/>
        <v>2호</v>
      </c>
      <c r="D938" t="str">
        <f t="shared" si="64"/>
        <v>7</v>
      </c>
      <c r="E938" t="str">
        <f t="shared" si="63"/>
        <v>2182호7</v>
      </c>
    </row>
    <row r="939" spans="1:5" ht="16.5" customHeight="1" x14ac:dyDescent="0.4">
      <c r="A939">
        <v>218</v>
      </c>
      <c r="B939" s="11">
        <v>703</v>
      </c>
      <c r="C939" t="str">
        <f t="shared" si="62"/>
        <v>3호</v>
      </c>
      <c r="D939" t="str">
        <f t="shared" si="64"/>
        <v>7</v>
      </c>
      <c r="E939" t="str">
        <f t="shared" si="63"/>
        <v>2183호7</v>
      </c>
    </row>
    <row r="940" spans="1:5" ht="16.5" customHeight="1" x14ac:dyDescent="0.4">
      <c r="A940">
        <v>218</v>
      </c>
      <c r="B940" s="11">
        <v>704</v>
      </c>
      <c r="C940" t="str">
        <f t="shared" si="62"/>
        <v>4호</v>
      </c>
      <c r="D940" t="str">
        <f t="shared" si="64"/>
        <v>7</v>
      </c>
      <c r="E940" t="str">
        <f t="shared" si="63"/>
        <v>2184호7</v>
      </c>
    </row>
    <row r="941" spans="1:5" ht="16.5" customHeight="1" x14ac:dyDescent="0.4">
      <c r="A941">
        <v>218</v>
      </c>
      <c r="B941" s="11">
        <v>801</v>
      </c>
      <c r="C941" t="str">
        <f t="shared" si="62"/>
        <v>1호</v>
      </c>
      <c r="D941" t="str">
        <f t="shared" si="64"/>
        <v>8</v>
      </c>
      <c r="E941" t="str">
        <f t="shared" si="63"/>
        <v>2181호8</v>
      </c>
    </row>
    <row r="942" spans="1:5" ht="16.5" customHeight="1" x14ac:dyDescent="0.4">
      <c r="A942">
        <v>218</v>
      </c>
      <c r="B942" s="11">
        <v>802</v>
      </c>
      <c r="C942" t="str">
        <f t="shared" si="62"/>
        <v>2호</v>
      </c>
      <c r="D942" t="str">
        <f t="shared" si="64"/>
        <v>8</v>
      </c>
      <c r="E942" t="str">
        <f t="shared" si="63"/>
        <v>2182호8</v>
      </c>
    </row>
    <row r="943" spans="1:5" ht="16.5" customHeight="1" x14ac:dyDescent="0.4">
      <c r="A943">
        <v>218</v>
      </c>
      <c r="B943" s="11">
        <v>803</v>
      </c>
      <c r="C943" t="str">
        <f t="shared" si="62"/>
        <v>3호</v>
      </c>
      <c r="D943" t="str">
        <f t="shared" si="64"/>
        <v>8</v>
      </c>
      <c r="E943" t="str">
        <f t="shared" si="63"/>
        <v>2183호8</v>
      </c>
    </row>
    <row r="944" spans="1:5" ht="16.5" customHeight="1" x14ac:dyDescent="0.4">
      <c r="A944">
        <v>218</v>
      </c>
      <c r="B944" s="11">
        <v>804</v>
      </c>
      <c r="C944" t="str">
        <f t="shared" si="62"/>
        <v>4호</v>
      </c>
      <c r="D944" t="str">
        <f t="shared" si="64"/>
        <v>8</v>
      </c>
      <c r="E944" t="str">
        <f t="shared" si="63"/>
        <v>2184호8</v>
      </c>
    </row>
    <row r="945" spans="1:5" ht="16.5" customHeight="1" x14ac:dyDescent="0.4">
      <c r="A945">
        <v>218</v>
      </c>
      <c r="B945" s="11">
        <v>901</v>
      </c>
      <c r="C945" t="str">
        <f t="shared" si="62"/>
        <v>1호</v>
      </c>
      <c r="D945" t="str">
        <f t="shared" si="64"/>
        <v>9</v>
      </c>
      <c r="E945" t="str">
        <f t="shared" si="63"/>
        <v>2181호9</v>
      </c>
    </row>
    <row r="946" spans="1:5" ht="16.5" customHeight="1" x14ac:dyDescent="0.4">
      <c r="A946">
        <v>218</v>
      </c>
      <c r="B946" s="11">
        <v>902</v>
      </c>
      <c r="C946" t="str">
        <f t="shared" si="62"/>
        <v>2호</v>
      </c>
      <c r="D946" t="str">
        <f t="shared" si="64"/>
        <v>9</v>
      </c>
      <c r="E946" t="str">
        <f t="shared" si="63"/>
        <v>2182호9</v>
      </c>
    </row>
    <row r="947" spans="1:5" ht="16.5" customHeight="1" x14ac:dyDescent="0.4">
      <c r="A947">
        <v>218</v>
      </c>
      <c r="B947" s="11">
        <v>903</v>
      </c>
      <c r="C947" t="str">
        <f t="shared" si="62"/>
        <v>3호</v>
      </c>
      <c r="D947" t="str">
        <f t="shared" si="64"/>
        <v>9</v>
      </c>
      <c r="E947" t="str">
        <f t="shared" si="63"/>
        <v>2183호9</v>
      </c>
    </row>
    <row r="948" spans="1:5" ht="16.5" customHeight="1" x14ac:dyDescent="0.4">
      <c r="A948">
        <v>218</v>
      </c>
      <c r="B948" s="11">
        <v>904</v>
      </c>
      <c r="C948" t="str">
        <f t="shared" si="62"/>
        <v>4호</v>
      </c>
      <c r="D948" t="str">
        <f t="shared" si="64"/>
        <v>9</v>
      </c>
      <c r="E948" t="str">
        <f t="shared" si="63"/>
        <v>2184호9</v>
      </c>
    </row>
    <row r="949" spans="1:5" ht="16.5" customHeight="1" x14ac:dyDescent="0.4">
      <c r="A949">
        <v>218</v>
      </c>
      <c r="B949" s="11">
        <v>1001</v>
      </c>
      <c r="C949" t="str">
        <f t="shared" si="62"/>
        <v>1호</v>
      </c>
      <c r="D949" t="str">
        <f t="shared" ref="D949:D966" si="65">LEFT(B949,2)</f>
        <v>10</v>
      </c>
      <c r="E949" t="str">
        <f t="shared" si="63"/>
        <v>2181호10</v>
      </c>
    </row>
    <row r="950" spans="1:5" ht="16.5" customHeight="1" x14ac:dyDescent="0.4">
      <c r="A950">
        <v>218</v>
      </c>
      <c r="B950" s="11">
        <v>1002</v>
      </c>
      <c r="C950" t="str">
        <f t="shared" si="62"/>
        <v>2호</v>
      </c>
      <c r="D950" t="str">
        <f t="shared" si="65"/>
        <v>10</v>
      </c>
      <c r="E950" t="str">
        <f t="shared" si="63"/>
        <v>2182호10</v>
      </c>
    </row>
    <row r="951" spans="1:5" ht="16.5" customHeight="1" x14ac:dyDescent="0.4">
      <c r="A951">
        <v>218</v>
      </c>
      <c r="B951" s="24">
        <v>1003</v>
      </c>
      <c r="C951" t="str">
        <f t="shared" si="62"/>
        <v>3호</v>
      </c>
      <c r="D951" t="str">
        <f t="shared" si="65"/>
        <v>10</v>
      </c>
      <c r="E951" t="str">
        <f t="shared" si="63"/>
        <v>2183호10</v>
      </c>
    </row>
    <row r="952" spans="1:5" ht="16.5" customHeight="1" x14ac:dyDescent="0.4">
      <c r="A952">
        <v>218</v>
      </c>
      <c r="B952" s="11">
        <v>1004</v>
      </c>
      <c r="C952" t="str">
        <f t="shared" si="62"/>
        <v>4호</v>
      </c>
      <c r="D952" t="str">
        <f t="shared" si="65"/>
        <v>10</v>
      </c>
      <c r="E952" t="str">
        <f t="shared" si="63"/>
        <v>2184호10</v>
      </c>
    </row>
    <row r="953" spans="1:5" ht="16.5" customHeight="1" x14ac:dyDescent="0.4">
      <c r="A953">
        <v>218</v>
      </c>
      <c r="B953" s="11">
        <v>1101</v>
      </c>
      <c r="C953" t="str">
        <f t="shared" si="62"/>
        <v>1호</v>
      </c>
      <c r="D953" t="str">
        <f t="shared" si="65"/>
        <v>11</v>
      </c>
      <c r="E953" t="str">
        <f t="shared" si="63"/>
        <v>2181호11</v>
      </c>
    </row>
    <row r="954" spans="1:5" ht="16.5" customHeight="1" x14ac:dyDescent="0.4">
      <c r="A954">
        <v>218</v>
      </c>
      <c r="B954" s="11">
        <v>1102</v>
      </c>
      <c r="C954" t="str">
        <f t="shared" si="62"/>
        <v>2호</v>
      </c>
      <c r="D954" t="str">
        <f t="shared" si="65"/>
        <v>11</v>
      </c>
      <c r="E954" t="str">
        <f t="shared" si="63"/>
        <v>2182호11</v>
      </c>
    </row>
    <row r="955" spans="1:5" ht="16.5" customHeight="1" x14ac:dyDescent="0.4">
      <c r="A955">
        <v>218</v>
      </c>
      <c r="B955" s="11">
        <v>1103</v>
      </c>
      <c r="C955" t="str">
        <f t="shared" si="62"/>
        <v>3호</v>
      </c>
      <c r="D955" t="str">
        <f t="shared" si="65"/>
        <v>11</v>
      </c>
      <c r="E955" t="str">
        <f t="shared" si="63"/>
        <v>2183호11</v>
      </c>
    </row>
    <row r="956" spans="1:5" ht="16.5" customHeight="1" x14ac:dyDescent="0.4">
      <c r="A956">
        <v>218</v>
      </c>
      <c r="B956" s="11">
        <v>1104</v>
      </c>
      <c r="C956" t="str">
        <f t="shared" si="62"/>
        <v>4호</v>
      </c>
      <c r="D956" t="str">
        <f t="shared" si="65"/>
        <v>11</v>
      </c>
      <c r="E956" t="str">
        <f t="shared" si="63"/>
        <v>2184호11</v>
      </c>
    </row>
    <row r="957" spans="1:5" ht="16.5" customHeight="1" x14ac:dyDescent="0.4">
      <c r="A957">
        <v>218</v>
      </c>
      <c r="B957" s="11">
        <v>1201</v>
      </c>
      <c r="C957" t="str">
        <f t="shared" si="62"/>
        <v>1호</v>
      </c>
      <c r="D957" t="str">
        <f t="shared" si="65"/>
        <v>12</v>
      </c>
      <c r="E957" t="str">
        <f t="shared" si="63"/>
        <v>2181호12</v>
      </c>
    </row>
    <row r="958" spans="1:5" ht="16.5" customHeight="1" x14ac:dyDescent="0.4">
      <c r="A958">
        <v>218</v>
      </c>
      <c r="B958" s="11">
        <v>1202</v>
      </c>
      <c r="C958" t="str">
        <f t="shared" si="62"/>
        <v>2호</v>
      </c>
      <c r="D958" t="str">
        <f t="shared" si="65"/>
        <v>12</v>
      </c>
      <c r="E958" t="str">
        <f t="shared" si="63"/>
        <v>2182호12</v>
      </c>
    </row>
    <row r="959" spans="1:5" ht="16.5" customHeight="1" x14ac:dyDescent="0.4">
      <c r="A959">
        <v>218</v>
      </c>
      <c r="B959" s="11">
        <v>1203</v>
      </c>
      <c r="C959" t="str">
        <f t="shared" si="62"/>
        <v>3호</v>
      </c>
      <c r="D959" t="str">
        <f t="shared" si="65"/>
        <v>12</v>
      </c>
      <c r="E959" t="str">
        <f t="shared" si="63"/>
        <v>2183호12</v>
      </c>
    </row>
    <row r="960" spans="1:5" ht="16.5" customHeight="1" x14ac:dyDescent="0.4">
      <c r="A960">
        <v>218</v>
      </c>
      <c r="B960" s="11">
        <v>1204</v>
      </c>
      <c r="C960" t="str">
        <f t="shared" si="62"/>
        <v>4호</v>
      </c>
      <c r="D960" t="str">
        <f t="shared" si="65"/>
        <v>12</v>
      </c>
      <c r="E960" t="str">
        <f t="shared" si="63"/>
        <v>2184호12</v>
      </c>
    </row>
    <row r="961" spans="1:5" ht="16.5" customHeight="1" x14ac:dyDescent="0.4">
      <c r="A961">
        <v>218</v>
      </c>
      <c r="B961" s="11">
        <v>1301</v>
      </c>
      <c r="C961" t="str">
        <f t="shared" si="62"/>
        <v>1호</v>
      </c>
      <c r="D961" t="str">
        <f t="shared" si="65"/>
        <v>13</v>
      </c>
      <c r="E961" t="str">
        <f t="shared" si="63"/>
        <v>2181호13</v>
      </c>
    </row>
    <row r="962" spans="1:5" ht="16.5" customHeight="1" x14ac:dyDescent="0.4">
      <c r="A962">
        <v>218</v>
      </c>
      <c r="B962" s="11">
        <v>1302</v>
      </c>
      <c r="C962" t="str">
        <f t="shared" si="62"/>
        <v>2호</v>
      </c>
      <c r="D962" t="str">
        <f t="shared" si="65"/>
        <v>13</v>
      </c>
      <c r="E962" t="str">
        <f t="shared" si="63"/>
        <v>2182호13</v>
      </c>
    </row>
    <row r="963" spans="1:5" ht="16.5" customHeight="1" x14ac:dyDescent="0.4">
      <c r="A963">
        <v>218</v>
      </c>
      <c r="B963" s="11">
        <v>1303</v>
      </c>
      <c r="C963" t="str">
        <f t="shared" si="62"/>
        <v>3호</v>
      </c>
      <c r="D963" t="str">
        <f t="shared" si="65"/>
        <v>13</v>
      </c>
      <c r="E963" t="str">
        <f t="shared" si="63"/>
        <v>2183호13</v>
      </c>
    </row>
    <row r="964" spans="1:5" ht="16.5" customHeight="1" x14ac:dyDescent="0.4">
      <c r="A964">
        <v>218</v>
      </c>
      <c r="B964" s="11">
        <v>1304</v>
      </c>
      <c r="C964" t="str">
        <f t="shared" ref="C964:C1027" si="66">RIGHT(B964,1)&amp;"호"</f>
        <v>4호</v>
      </c>
      <c r="D964" t="str">
        <f t="shared" si="65"/>
        <v>13</v>
      </c>
      <c r="E964" t="str">
        <f t="shared" ref="E964:E1027" si="67">A964&amp;C964&amp;D964</f>
        <v>2184호13</v>
      </c>
    </row>
    <row r="965" spans="1:5" ht="16.5" customHeight="1" x14ac:dyDescent="0.4">
      <c r="A965">
        <v>218</v>
      </c>
      <c r="B965" s="24">
        <v>1402</v>
      </c>
      <c r="C965" t="str">
        <f t="shared" si="66"/>
        <v>2호</v>
      </c>
      <c r="D965" t="str">
        <f t="shared" si="65"/>
        <v>14</v>
      </c>
      <c r="E965" t="str">
        <f t="shared" si="67"/>
        <v>2182호14</v>
      </c>
    </row>
    <row r="966" spans="1:5" ht="16.5" customHeight="1" x14ac:dyDescent="0.4">
      <c r="A966">
        <v>218</v>
      </c>
      <c r="B966" s="9">
        <v>1404</v>
      </c>
      <c r="C966" t="str">
        <f t="shared" si="66"/>
        <v>4호</v>
      </c>
      <c r="D966" t="str">
        <f t="shared" si="65"/>
        <v>14</v>
      </c>
      <c r="E966" t="str">
        <f t="shared" si="67"/>
        <v>2184호14</v>
      </c>
    </row>
    <row r="967" spans="1:5" ht="16.5" customHeight="1" x14ac:dyDescent="0.4">
      <c r="A967">
        <v>219</v>
      </c>
      <c r="B967" s="9">
        <v>101</v>
      </c>
      <c r="C967" t="str">
        <f t="shared" si="66"/>
        <v>1호</v>
      </c>
      <c r="D967" t="str">
        <f t="shared" ref="D967:D1011" si="68">LEFT(B967,1)</f>
        <v>1</v>
      </c>
      <c r="E967" t="str">
        <f t="shared" si="67"/>
        <v>2191호1</v>
      </c>
    </row>
    <row r="968" spans="1:5" ht="16.5" customHeight="1" x14ac:dyDescent="0.4">
      <c r="A968">
        <v>219</v>
      </c>
      <c r="B968" s="9">
        <v>102</v>
      </c>
      <c r="C968" t="str">
        <f t="shared" si="66"/>
        <v>2호</v>
      </c>
      <c r="D968" t="str">
        <f t="shared" si="68"/>
        <v>1</v>
      </c>
      <c r="E968" t="str">
        <f t="shared" si="67"/>
        <v>2192호1</v>
      </c>
    </row>
    <row r="969" spans="1:5" ht="16.5" customHeight="1" x14ac:dyDescent="0.4">
      <c r="A969">
        <v>219</v>
      </c>
      <c r="B969" s="9">
        <v>103</v>
      </c>
      <c r="C969" t="str">
        <f t="shared" si="66"/>
        <v>3호</v>
      </c>
      <c r="D969" t="str">
        <f t="shared" si="68"/>
        <v>1</v>
      </c>
      <c r="E969" t="str">
        <f t="shared" si="67"/>
        <v>2193호1</v>
      </c>
    </row>
    <row r="970" spans="1:5" ht="16.5" customHeight="1" x14ac:dyDescent="0.4">
      <c r="A970">
        <v>219</v>
      </c>
      <c r="B970" s="9">
        <v>104</v>
      </c>
      <c r="C970" t="str">
        <f t="shared" si="66"/>
        <v>4호</v>
      </c>
      <c r="D970" t="str">
        <f t="shared" si="68"/>
        <v>1</v>
      </c>
      <c r="E970" t="str">
        <f t="shared" si="67"/>
        <v>2194호1</v>
      </c>
    </row>
    <row r="971" spans="1:5" ht="16.5" customHeight="1" x14ac:dyDescent="0.4">
      <c r="A971">
        <v>219</v>
      </c>
      <c r="B971" s="9">
        <v>105</v>
      </c>
      <c r="C971" t="str">
        <f t="shared" si="66"/>
        <v>5호</v>
      </c>
      <c r="D971" t="str">
        <f t="shared" si="68"/>
        <v>1</v>
      </c>
      <c r="E971" t="str">
        <f t="shared" si="67"/>
        <v>2195호1</v>
      </c>
    </row>
    <row r="972" spans="1:5" ht="16.5" customHeight="1" x14ac:dyDescent="0.4">
      <c r="A972">
        <v>219</v>
      </c>
      <c r="B972" s="9">
        <v>201</v>
      </c>
      <c r="C972" t="str">
        <f t="shared" si="66"/>
        <v>1호</v>
      </c>
      <c r="D972" t="str">
        <f t="shared" si="68"/>
        <v>2</v>
      </c>
      <c r="E972" t="str">
        <f t="shared" si="67"/>
        <v>2191호2</v>
      </c>
    </row>
    <row r="973" spans="1:5" ht="16.5" customHeight="1" x14ac:dyDescent="0.4">
      <c r="A973">
        <v>219</v>
      </c>
      <c r="B973" s="9">
        <v>202</v>
      </c>
      <c r="C973" t="str">
        <f t="shared" si="66"/>
        <v>2호</v>
      </c>
      <c r="D973" t="str">
        <f t="shared" si="68"/>
        <v>2</v>
      </c>
      <c r="E973" t="str">
        <f t="shared" si="67"/>
        <v>2192호2</v>
      </c>
    </row>
    <row r="974" spans="1:5" ht="16.5" customHeight="1" x14ac:dyDescent="0.4">
      <c r="A974">
        <v>219</v>
      </c>
      <c r="B974" s="9">
        <v>203</v>
      </c>
      <c r="C974" t="str">
        <f t="shared" si="66"/>
        <v>3호</v>
      </c>
      <c r="D974" t="str">
        <f t="shared" si="68"/>
        <v>2</v>
      </c>
      <c r="E974" t="str">
        <f t="shared" si="67"/>
        <v>2193호2</v>
      </c>
    </row>
    <row r="975" spans="1:5" ht="16.5" customHeight="1" x14ac:dyDescent="0.4">
      <c r="A975">
        <v>219</v>
      </c>
      <c r="B975" s="9">
        <v>204</v>
      </c>
      <c r="C975" t="str">
        <f t="shared" si="66"/>
        <v>4호</v>
      </c>
      <c r="D975" t="str">
        <f t="shared" si="68"/>
        <v>2</v>
      </c>
      <c r="E975" t="str">
        <f t="shared" si="67"/>
        <v>2194호2</v>
      </c>
    </row>
    <row r="976" spans="1:5" ht="16.5" customHeight="1" x14ac:dyDescent="0.4">
      <c r="A976">
        <v>219</v>
      </c>
      <c r="B976" s="22">
        <v>205</v>
      </c>
      <c r="C976" t="str">
        <f t="shared" si="66"/>
        <v>5호</v>
      </c>
      <c r="D976" t="str">
        <f t="shared" si="68"/>
        <v>2</v>
      </c>
      <c r="E976" t="str">
        <f t="shared" si="67"/>
        <v>2195호2</v>
      </c>
    </row>
    <row r="977" spans="1:5" ht="16.5" customHeight="1" x14ac:dyDescent="0.4">
      <c r="A977">
        <v>219</v>
      </c>
      <c r="B977" s="11">
        <v>301</v>
      </c>
      <c r="C977" t="str">
        <f t="shared" si="66"/>
        <v>1호</v>
      </c>
      <c r="D977" t="str">
        <f t="shared" si="68"/>
        <v>3</v>
      </c>
      <c r="E977" t="str">
        <f t="shared" si="67"/>
        <v>2191호3</v>
      </c>
    </row>
    <row r="978" spans="1:5" ht="16.5" customHeight="1" x14ac:dyDescent="0.4">
      <c r="A978">
        <v>219</v>
      </c>
      <c r="B978" s="11">
        <v>302</v>
      </c>
      <c r="C978" t="str">
        <f t="shared" si="66"/>
        <v>2호</v>
      </c>
      <c r="D978" t="str">
        <f t="shared" si="68"/>
        <v>3</v>
      </c>
      <c r="E978" t="str">
        <f t="shared" si="67"/>
        <v>2192호3</v>
      </c>
    </row>
    <row r="979" spans="1:5" ht="16.5" customHeight="1" x14ac:dyDescent="0.4">
      <c r="A979">
        <v>219</v>
      </c>
      <c r="B979" s="11">
        <v>303</v>
      </c>
      <c r="C979" t="str">
        <f t="shared" si="66"/>
        <v>3호</v>
      </c>
      <c r="D979" t="str">
        <f t="shared" si="68"/>
        <v>3</v>
      </c>
      <c r="E979" t="str">
        <f t="shared" si="67"/>
        <v>2193호3</v>
      </c>
    </row>
    <row r="980" spans="1:5" ht="16.5" customHeight="1" x14ac:dyDescent="0.4">
      <c r="A980">
        <v>219</v>
      </c>
      <c r="B980" s="11">
        <v>304</v>
      </c>
      <c r="C980" t="str">
        <f t="shared" si="66"/>
        <v>4호</v>
      </c>
      <c r="D980" t="str">
        <f t="shared" si="68"/>
        <v>3</v>
      </c>
      <c r="E980" t="str">
        <f t="shared" si="67"/>
        <v>2194호3</v>
      </c>
    </row>
    <row r="981" spans="1:5" ht="16.5" customHeight="1" x14ac:dyDescent="0.4">
      <c r="A981">
        <v>219</v>
      </c>
      <c r="B981" s="11">
        <v>305</v>
      </c>
      <c r="C981" t="str">
        <f t="shared" si="66"/>
        <v>5호</v>
      </c>
      <c r="D981" t="str">
        <f t="shared" si="68"/>
        <v>3</v>
      </c>
      <c r="E981" t="str">
        <f t="shared" si="67"/>
        <v>2195호3</v>
      </c>
    </row>
    <row r="982" spans="1:5" ht="16.5" customHeight="1" x14ac:dyDescent="0.4">
      <c r="A982">
        <v>219</v>
      </c>
      <c r="B982" s="11">
        <v>401</v>
      </c>
      <c r="C982" t="str">
        <f t="shared" si="66"/>
        <v>1호</v>
      </c>
      <c r="D982" t="str">
        <f t="shared" si="68"/>
        <v>4</v>
      </c>
      <c r="E982" t="str">
        <f t="shared" si="67"/>
        <v>2191호4</v>
      </c>
    </row>
    <row r="983" spans="1:5" ht="16.5" customHeight="1" x14ac:dyDescent="0.4">
      <c r="A983">
        <v>219</v>
      </c>
      <c r="B983" s="11">
        <v>402</v>
      </c>
      <c r="C983" t="str">
        <f t="shared" si="66"/>
        <v>2호</v>
      </c>
      <c r="D983" t="str">
        <f t="shared" si="68"/>
        <v>4</v>
      </c>
      <c r="E983" t="str">
        <f t="shared" si="67"/>
        <v>2192호4</v>
      </c>
    </row>
    <row r="984" spans="1:5" ht="16.5" customHeight="1" x14ac:dyDescent="0.4">
      <c r="A984">
        <v>219</v>
      </c>
      <c r="B984" s="11">
        <v>403</v>
      </c>
      <c r="C984" t="str">
        <f t="shared" si="66"/>
        <v>3호</v>
      </c>
      <c r="D984" t="str">
        <f t="shared" si="68"/>
        <v>4</v>
      </c>
      <c r="E984" t="str">
        <f t="shared" si="67"/>
        <v>2193호4</v>
      </c>
    </row>
    <row r="985" spans="1:5" ht="16.5" customHeight="1" x14ac:dyDescent="0.4">
      <c r="A985">
        <v>219</v>
      </c>
      <c r="B985" s="11">
        <v>404</v>
      </c>
      <c r="C985" t="str">
        <f t="shared" si="66"/>
        <v>4호</v>
      </c>
      <c r="D985" t="str">
        <f t="shared" si="68"/>
        <v>4</v>
      </c>
      <c r="E985" t="str">
        <f t="shared" si="67"/>
        <v>2194호4</v>
      </c>
    </row>
    <row r="986" spans="1:5" ht="16.5" customHeight="1" x14ac:dyDescent="0.4">
      <c r="A986">
        <v>219</v>
      </c>
      <c r="B986" s="11">
        <v>405</v>
      </c>
      <c r="C986" t="str">
        <f t="shared" si="66"/>
        <v>5호</v>
      </c>
      <c r="D986" t="str">
        <f t="shared" si="68"/>
        <v>4</v>
      </c>
      <c r="E986" t="str">
        <f t="shared" si="67"/>
        <v>2195호4</v>
      </c>
    </row>
    <row r="987" spans="1:5" ht="16.5" customHeight="1" x14ac:dyDescent="0.4">
      <c r="A987">
        <v>219</v>
      </c>
      <c r="B987" s="24">
        <v>501</v>
      </c>
      <c r="C987" t="str">
        <f t="shared" si="66"/>
        <v>1호</v>
      </c>
      <c r="D987" t="str">
        <f t="shared" si="68"/>
        <v>5</v>
      </c>
      <c r="E987" t="str">
        <f t="shared" si="67"/>
        <v>2191호5</v>
      </c>
    </row>
    <row r="988" spans="1:5" ht="16.5" customHeight="1" x14ac:dyDescent="0.4">
      <c r="A988">
        <v>219</v>
      </c>
      <c r="B988" s="11">
        <v>502</v>
      </c>
      <c r="C988" t="str">
        <f t="shared" si="66"/>
        <v>2호</v>
      </c>
      <c r="D988" t="str">
        <f t="shared" si="68"/>
        <v>5</v>
      </c>
      <c r="E988" t="str">
        <f t="shared" si="67"/>
        <v>2192호5</v>
      </c>
    </row>
    <row r="989" spans="1:5" ht="16.5" customHeight="1" x14ac:dyDescent="0.4">
      <c r="A989">
        <v>219</v>
      </c>
      <c r="B989" s="11">
        <v>503</v>
      </c>
      <c r="C989" t="str">
        <f t="shared" si="66"/>
        <v>3호</v>
      </c>
      <c r="D989" t="str">
        <f t="shared" si="68"/>
        <v>5</v>
      </c>
      <c r="E989" t="str">
        <f t="shared" si="67"/>
        <v>2193호5</v>
      </c>
    </row>
    <row r="990" spans="1:5" ht="16.5" customHeight="1" x14ac:dyDescent="0.4">
      <c r="A990">
        <v>219</v>
      </c>
      <c r="B990" s="11">
        <v>504</v>
      </c>
      <c r="C990" t="str">
        <f t="shared" si="66"/>
        <v>4호</v>
      </c>
      <c r="D990" t="str">
        <f t="shared" si="68"/>
        <v>5</v>
      </c>
      <c r="E990" t="str">
        <f t="shared" si="67"/>
        <v>2194호5</v>
      </c>
    </row>
    <row r="991" spans="1:5" ht="16.5" customHeight="1" x14ac:dyDescent="0.4">
      <c r="A991">
        <v>219</v>
      </c>
      <c r="B991" s="11">
        <v>505</v>
      </c>
      <c r="C991" t="str">
        <f t="shared" si="66"/>
        <v>5호</v>
      </c>
      <c r="D991" t="str">
        <f t="shared" si="68"/>
        <v>5</v>
      </c>
      <c r="E991" t="str">
        <f t="shared" si="67"/>
        <v>2195호5</v>
      </c>
    </row>
    <row r="992" spans="1:5" ht="16.5" customHeight="1" x14ac:dyDescent="0.4">
      <c r="A992">
        <v>219</v>
      </c>
      <c r="B992" s="11">
        <v>601</v>
      </c>
      <c r="C992" t="str">
        <f t="shared" si="66"/>
        <v>1호</v>
      </c>
      <c r="D992" t="str">
        <f t="shared" si="68"/>
        <v>6</v>
      </c>
      <c r="E992" t="str">
        <f t="shared" si="67"/>
        <v>2191호6</v>
      </c>
    </row>
    <row r="993" spans="1:5" ht="16.5" customHeight="1" x14ac:dyDescent="0.4">
      <c r="A993">
        <v>219</v>
      </c>
      <c r="B993" s="11">
        <v>602</v>
      </c>
      <c r="C993" t="str">
        <f t="shared" si="66"/>
        <v>2호</v>
      </c>
      <c r="D993" t="str">
        <f t="shared" si="68"/>
        <v>6</v>
      </c>
      <c r="E993" t="str">
        <f t="shared" si="67"/>
        <v>2192호6</v>
      </c>
    </row>
    <row r="994" spans="1:5" ht="16.5" customHeight="1" x14ac:dyDescent="0.4">
      <c r="A994">
        <v>219</v>
      </c>
      <c r="B994" s="11">
        <v>603</v>
      </c>
      <c r="C994" t="str">
        <f t="shared" si="66"/>
        <v>3호</v>
      </c>
      <c r="D994" t="str">
        <f t="shared" si="68"/>
        <v>6</v>
      </c>
      <c r="E994" t="str">
        <f t="shared" si="67"/>
        <v>2193호6</v>
      </c>
    </row>
    <row r="995" spans="1:5" ht="16.5" customHeight="1" x14ac:dyDescent="0.4">
      <c r="A995">
        <v>219</v>
      </c>
      <c r="B995" s="11">
        <v>604</v>
      </c>
      <c r="C995" t="str">
        <f t="shared" si="66"/>
        <v>4호</v>
      </c>
      <c r="D995" t="str">
        <f t="shared" si="68"/>
        <v>6</v>
      </c>
      <c r="E995" t="str">
        <f t="shared" si="67"/>
        <v>2194호6</v>
      </c>
    </row>
    <row r="996" spans="1:5" ht="16.5" customHeight="1" x14ac:dyDescent="0.4">
      <c r="A996">
        <v>219</v>
      </c>
      <c r="B996" s="11">
        <v>605</v>
      </c>
      <c r="C996" t="str">
        <f t="shared" si="66"/>
        <v>5호</v>
      </c>
      <c r="D996" t="str">
        <f t="shared" si="68"/>
        <v>6</v>
      </c>
      <c r="E996" t="str">
        <f t="shared" si="67"/>
        <v>2195호6</v>
      </c>
    </row>
    <row r="997" spans="1:5" ht="16.5" customHeight="1" x14ac:dyDescent="0.4">
      <c r="A997">
        <v>219</v>
      </c>
      <c r="B997" s="11">
        <v>701</v>
      </c>
      <c r="C997" t="str">
        <f t="shared" si="66"/>
        <v>1호</v>
      </c>
      <c r="D997" t="str">
        <f t="shared" si="68"/>
        <v>7</v>
      </c>
      <c r="E997" t="str">
        <f t="shared" si="67"/>
        <v>2191호7</v>
      </c>
    </row>
    <row r="998" spans="1:5" ht="16.5" customHeight="1" x14ac:dyDescent="0.4">
      <c r="A998">
        <v>219</v>
      </c>
      <c r="B998" s="11">
        <v>702</v>
      </c>
      <c r="C998" t="str">
        <f t="shared" si="66"/>
        <v>2호</v>
      </c>
      <c r="D998" t="str">
        <f t="shared" si="68"/>
        <v>7</v>
      </c>
      <c r="E998" t="str">
        <f t="shared" si="67"/>
        <v>2192호7</v>
      </c>
    </row>
    <row r="999" spans="1:5" ht="16.5" customHeight="1" x14ac:dyDescent="0.4">
      <c r="A999">
        <v>219</v>
      </c>
      <c r="B999" s="11">
        <v>703</v>
      </c>
      <c r="C999" t="str">
        <f t="shared" si="66"/>
        <v>3호</v>
      </c>
      <c r="D999" t="str">
        <f t="shared" si="68"/>
        <v>7</v>
      </c>
      <c r="E999" t="str">
        <f t="shared" si="67"/>
        <v>2193호7</v>
      </c>
    </row>
    <row r="1000" spans="1:5" ht="16.5" customHeight="1" x14ac:dyDescent="0.4">
      <c r="A1000">
        <v>219</v>
      </c>
      <c r="B1000" s="11">
        <v>704</v>
      </c>
      <c r="C1000" t="str">
        <f t="shared" si="66"/>
        <v>4호</v>
      </c>
      <c r="D1000" t="str">
        <f t="shared" si="68"/>
        <v>7</v>
      </c>
      <c r="E1000" t="str">
        <f t="shared" si="67"/>
        <v>2194호7</v>
      </c>
    </row>
    <row r="1001" spans="1:5" ht="16.5" customHeight="1" x14ac:dyDescent="0.4">
      <c r="A1001">
        <v>219</v>
      </c>
      <c r="B1001" s="24">
        <v>705</v>
      </c>
      <c r="C1001" t="str">
        <f t="shared" si="66"/>
        <v>5호</v>
      </c>
      <c r="D1001" t="str">
        <f t="shared" si="68"/>
        <v>7</v>
      </c>
      <c r="E1001" t="str">
        <f t="shared" si="67"/>
        <v>2195호7</v>
      </c>
    </row>
    <row r="1002" spans="1:5" ht="16.5" customHeight="1" x14ac:dyDescent="0.4">
      <c r="A1002">
        <v>219</v>
      </c>
      <c r="B1002" s="11">
        <v>801</v>
      </c>
      <c r="C1002" t="str">
        <f t="shared" si="66"/>
        <v>1호</v>
      </c>
      <c r="D1002" t="str">
        <f t="shared" si="68"/>
        <v>8</v>
      </c>
      <c r="E1002" t="str">
        <f t="shared" si="67"/>
        <v>2191호8</v>
      </c>
    </row>
    <row r="1003" spans="1:5" ht="16.5" customHeight="1" x14ac:dyDescent="0.4">
      <c r="A1003">
        <v>219</v>
      </c>
      <c r="B1003" s="11">
        <v>802</v>
      </c>
      <c r="C1003" t="str">
        <f t="shared" si="66"/>
        <v>2호</v>
      </c>
      <c r="D1003" t="str">
        <f t="shared" si="68"/>
        <v>8</v>
      </c>
      <c r="E1003" t="str">
        <f t="shared" si="67"/>
        <v>2192호8</v>
      </c>
    </row>
    <row r="1004" spans="1:5" ht="16.5" customHeight="1" x14ac:dyDescent="0.4">
      <c r="A1004">
        <v>219</v>
      </c>
      <c r="B1004" s="11">
        <v>803</v>
      </c>
      <c r="C1004" t="str">
        <f t="shared" si="66"/>
        <v>3호</v>
      </c>
      <c r="D1004" t="str">
        <f t="shared" si="68"/>
        <v>8</v>
      </c>
      <c r="E1004" t="str">
        <f t="shared" si="67"/>
        <v>2193호8</v>
      </c>
    </row>
    <row r="1005" spans="1:5" ht="16.5" customHeight="1" x14ac:dyDescent="0.4">
      <c r="A1005">
        <v>219</v>
      </c>
      <c r="B1005" s="11">
        <v>804</v>
      </c>
      <c r="C1005" t="str">
        <f t="shared" si="66"/>
        <v>4호</v>
      </c>
      <c r="D1005" t="str">
        <f t="shared" si="68"/>
        <v>8</v>
      </c>
      <c r="E1005" t="str">
        <f t="shared" si="67"/>
        <v>2194호8</v>
      </c>
    </row>
    <row r="1006" spans="1:5" ht="16.5" customHeight="1" x14ac:dyDescent="0.4">
      <c r="A1006">
        <v>219</v>
      </c>
      <c r="B1006" s="11">
        <v>805</v>
      </c>
      <c r="C1006" t="str">
        <f t="shared" si="66"/>
        <v>5호</v>
      </c>
      <c r="D1006" t="str">
        <f t="shared" si="68"/>
        <v>8</v>
      </c>
      <c r="E1006" t="str">
        <f t="shared" si="67"/>
        <v>2195호8</v>
      </c>
    </row>
    <row r="1007" spans="1:5" ht="16.5" customHeight="1" x14ac:dyDescent="0.4">
      <c r="A1007">
        <v>219</v>
      </c>
      <c r="B1007" s="11">
        <v>901</v>
      </c>
      <c r="C1007" t="str">
        <f t="shared" si="66"/>
        <v>1호</v>
      </c>
      <c r="D1007" t="str">
        <f t="shared" si="68"/>
        <v>9</v>
      </c>
      <c r="E1007" t="str">
        <f t="shared" si="67"/>
        <v>2191호9</v>
      </c>
    </row>
    <row r="1008" spans="1:5" ht="16.5" customHeight="1" x14ac:dyDescent="0.4">
      <c r="A1008">
        <v>219</v>
      </c>
      <c r="B1008" s="11">
        <v>902</v>
      </c>
      <c r="C1008" t="str">
        <f t="shared" si="66"/>
        <v>2호</v>
      </c>
      <c r="D1008" t="str">
        <f t="shared" si="68"/>
        <v>9</v>
      </c>
      <c r="E1008" t="str">
        <f t="shared" si="67"/>
        <v>2192호9</v>
      </c>
    </row>
    <row r="1009" spans="1:5" ht="16.5" customHeight="1" x14ac:dyDescent="0.4">
      <c r="A1009">
        <v>219</v>
      </c>
      <c r="B1009" s="11">
        <v>903</v>
      </c>
      <c r="C1009" t="str">
        <f t="shared" si="66"/>
        <v>3호</v>
      </c>
      <c r="D1009" t="str">
        <f t="shared" si="68"/>
        <v>9</v>
      </c>
      <c r="E1009" t="str">
        <f t="shared" si="67"/>
        <v>2193호9</v>
      </c>
    </row>
    <row r="1010" spans="1:5" ht="16.5" customHeight="1" x14ac:dyDescent="0.4">
      <c r="A1010">
        <v>219</v>
      </c>
      <c r="B1010" s="11">
        <v>904</v>
      </c>
      <c r="C1010" t="str">
        <f t="shared" si="66"/>
        <v>4호</v>
      </c>
      <c r="D1010" t="str">
        <f t="shared" si="68"/>
        <v>9</v>
      </c>
      <c r="E1010" t="str">
        <f t="shared" si="67"/>
        <v>2194호9</v>
      </c>
    </row>
    <row r="1011" spans="1:5" ht="16.5" customHeight="1" x14ac:dyDescent="0.4">
      <c r="A1011">
        <v>219</v>
      </c>
      <c r="B1011" s="11">
        <v>905</v>
      </c>
      <c r="C1011" t="str">
        <f t="shared" si="66"/>
        <v>5호</v>
      </c>
      <c r="D1011" t="str">
        <f t="shared" si="68"/>
        <v>9</v>
      </c>
      <c r="E1011" t="str">
        <f t="shared" si="67"/>
        <v>2195호9</v>
      </c>
    </row>
    <row r="1012" spans="1:5" ht="16.5" customHeight="1" x14ac:dyDescent="0.4">
      <c r="A1012">
        <v>219</v>
      </c>
      <c r="B1012" s="11">
        <v>1001</v>
      </c>
      <c r="C1012" t="str">
        <f t="shared" si="66"/>
        <v>1호</v>
      </c>
      <c r="D1012" t="str">
        <f t="shared" ref="D1012:D1030" si="69">LEFT(B1012,2)</f>
        <v>10</v>
      </c>
      <c r="E1012" t="str">
        <f t="shared" si="67"/>
        <v>2191호10</v>
      </c>
    </row>
    <row r="1013" spans="1:5" ht="16.5" customHeight="1" x14ac:dyDescent="0.4">
      <c r="A1013">
        <v>219</v>
      </c>
      <c r="B1013" s="11">
        <v>1002</v>
      </c>
      <c r="C1013" t="str">
        <f t="shared" si="66"/>
        <v>2호</v>
      </c>
      <c r="D1013" t="str">
        <f t="shared" si="69"/>
        <v>10</v>
      </c>
      <c r="E1013" t="str">
        <f t="shared" si="67"/>
        <v>2192호10</v>
      </c>
    </row>
    <row r="1014" spans="1:5" ht="16.5" customHeight="1" x14ac:dyDescent="0.4">
      <c r="A1014">
        <v>219</v>
      </c>
      <c r="B1014" s="11">
        <v>1003</v>
      </c>
      <c r="C1014" t="str">
        <f t="shared" si="66"/>
        <v>3호</v>
      </c>
      <c r="D1014" t="str">
        <f t="shared" si="69"/>
        <v>10</v>
      </c>
      <c r="E1014" t="str">
        <f t="shared" si="67"/>
        <v>2193호10</v>
      </c>
    </row>
    <row r="1015" spans="1:5" ht="16.5" customHeight="1" x14ac:dyDescent="0.4">
      <c r="A1015">
        <v>219</v>
      </c>
      <c r="B1015" s="24">
        <v>1004</v>
      </c>
      <c r="C1015" t="str">
        <f t="shared" si="66"/>
        <v>4호</v>
      </c>
      <c r="D1015" t="str">
        <f t="shared" si="69"/>
        <v>10</v>
      </c>
      <c r="E1015" t="str">
        <f t="shared" si="67"/>
        <v>2194호10</v>
      </c>
    </row>
    <row r="1016" spans="1:5" ht="16.5" customHeight="1" x14ac:dyDescent="0.4">
      <c r="A1016">
        <v>219</v>
      </c>
      <c r="B1016" s="11">
        <v>1005</v>
      </c>
      <c r="C1016" t="str">
        <f t="shared" si="66"/>
        <v>5호</v>
      </c>
      <c r="D1016" t="str">
        <f t="shared" si="69"/>
        <v>10</v>
      </c>
      <c r="E1016" t="str">
        <f t="shared" si="67"/>
        <v>2195호10</v>
      </c>
    </row>
    <row r="1017" spans="1:5" ht="16.5" customHeight="1" x14ac:dyDescent="0.4">
      <c r="A1017">
        <v>219</v>
      </c>
      <c r="B1017" s="11">
        <v>1101</v>
      </c>
      <c r="C1017" t="str">
        <f t="shared" si="66"/>
        <v>1호</v>
      </c>
      <c r="D1017" t="str">
        <f t="shared" si="69"/>
        <v>11</v>
      </c>
      <c r="E1017" t="str">
        <f t="shared" si="67"/>
        <v>2191호11</v>
      </c>
    </row>
    <row r="1018" spans="1:5" ht="16.5" customHeight="1" x14ac:dyDescent="0.4">
      <c r="A1018">
        <v>219</v>
      </c>
      <c r="B1018" s="11">
        <v>1102</v>
      </c>
      <c r="C1018" t="str">
        <f t="shared" si="66"/>
        <v>2호</v>
      </c>
      <c r="D1018" t="str">
        <f t="shared" si="69"/>
        <v>11</v>
      </c>
      <c r="E1018" t="str">
        <f t="shared" si="67"/>
        <v>2192호11</v>
      </c>
    </row>
    <row r="1019" spans="1:5" ht="16.5" customHeight="1" x14ac:dyDescent="0.4">
      <c r="A1019">
        <v>219</v>
      </c>
      <c r="B1019" s="11">
        <v>1103</v>
      </c>
      <c r="C1019" t="str">
        <f t="shared" si="66"/>
        <v>3호</v>
      </c>
      <c r="D1019" t="str">
        <f t="shared" si="69"/>
        <v>11</v>
      </c>
      <c r="E1019" t="str">
        <f t="shared" si="67"/>
        <v>2193호11</v>
      </c>
    </row>
    <row r="1020" spans="1:5" ht="16.5" customHeight="1" x14ac:dyDescent="0.4">
      <c r="A1020">
        <v>219</v>
      </c>
      <c r="B1020" s="11">
        <v>1104</v>
      </c>
      <c r="C1020" t="str">
        <f t="shared" si="66"/>
        <v>4호</v>
      </c>
      <c r="D1020" t="str">
        <f t="shared" si="69"/>
        <v>11</v>
      </c>
      <c r="E1020" t="str">
        <f t="shared" si="67"/>
        <v>2194호11</v>
      </c>
    </row>
    <row r="1021" spans="1:5" ht="16.5" customHeight="1" x14ac:dyDescent="0.4">
      <c r="A1021">
        <v>219</v>
      </c>
      <c r="B1021" s="11">
        <v>1105</v>
      </c>
      <c r="C1021" t="str">
        <f t="shared" si="66"/>
        <v>5호</v>
      </c>
      <c r="D1021" t="str">
        <f t="shared" si="69"/>
        <v>11</v>
      </c>
      <c r="E1021" t="str">
        <f t="shared" si="67"/>
        <v>2195호11</v>
      </c>
    </row>
    <row r="1022" spans="1:5" ht="16.5" customHeight="1" x14ac:dyDescent="0.4">
      <c r="A1022">
        <v>219</v>
      </c>
      <c r="B1022" s="11">
        <v>1203</v>
      </c>
      <c r="C1022" t="str">
        <f t="shared" si="66"/>
        <v>3호</v>
      </c>
      <c r="D1022" t="str">
        <f t="shared" si="69"/>
        <v>12</v>
      </c>
      <c r="E1022" t="str">
        <f t="shared" si="67"/>
        <v>2193호12</v>
      </c>
    </row>
    <row r="1023" spans="1:5" ht="16.5" customHeight="1" x14ac:dyDescent="0.4">
      <c r="A1023">
        <v>219</v>
      </c>
      <c r="B1023" s="11">
        <v>1204</v>
      </c>
      <c r="C1023" t="str">
        <f t="shared" si="66"/>
        <v>4호</v>
      </c>
      <c r="D1023" t="str">
        <f t="shared" si="69"/>
        <v>12</v>
      </c>
      <c r="E1023" t="str">
        <f t="shared" si="67"/>
        <v>2194호12</v>
      </c>
    </row>
    <row r="1024" spans="1:5" ht="16.5" customHeight="1" x14ac:dyDescent="0.4">
      <c r="A1024">
        <v>219</v>
      </c>
      <c r="B1024" s="11">
        <v>1205</v>
      </c>
      <c r="C1024" t="str">
        <f t="shared" si="66"/>
        <v>5호</v>
      </c>
      <c r="D1024" t="str">
        <f t="shared" si="69"/>
        <v>12</v>
      </c>
      <c r="E1024" t="str">
        <f t="shared" si="67"/>
        <v>2195호12</v>
      </c>
    </row>
    <row r="1025" spans="1:5" ht="16.5" customHeight="1" x14ac:dyDescent="0.4">
      <c r="A1025">
        <v>219</v>
      </c>
      <c r="B1025" s="11">
        <v>1303</v>
      </c>
      <c r="C1025" t="str">
        <f t="shared" si="66"/>
        <v>3호</v>
      </c>
      <c r="D1025" t="str">
        <f t="shared" si="69"/>
        <v>13</v>
      </c>
      <c r="E1025" t="str">
        <f t="shared" si="67"/>
        <v>2193호13</v>
      </c>
    </row>
    <row r="1026" spans="1:5" ht="16.5" customHeight="1" x14ac:dyDescent="0.4">
      <c r="A1026">
        <v>219</v>
      </c>
      <c r="B1026" s="11">
        <v>1304</v>
      </c>
      <c r="C1026" t="str">
        <f t="shared" si="66"/>
        <v>4호</v>
      </c>
      <c r="D1026" t="str">
        <f t="shared" si="69"/>
        <v>13</v>
      </c>
      <c r="E1026" t="str">
        <f t="shared" si="67"/>
        <v>2194호13</v>
      </c>
    </row>
    <row r="1027" spans="1:5" ht="16.5" customHeight="1" x14ac:dyDescent="0.4">
      <c r="A1027">
        <v>219</v>
      </c>
      <c r="B1027" s="11">
        <v>1305</v>
      </c>
      <c r="C1027" t="str">
        <f t="shared" si="66"/>
        <v>5호</v>
      </c>
      <c r="D1027" t="str">
        <f t="shared" si="69"/>
        <v>13</v>
      </c>
      <c r="E1027" t="str">
        <f t="shared" si="67"/>
        <v>2195호13</v>
      </c>
    </row>
    <row r="1028" spans="1:5" ht="16.5" customHeight="1" x14ac:dyDescent="0.4">
      <c r="A1028">
        <v>219</v>
      </c>
      <c r="B1028" s="11">
        <v>1403</v>
      </c>
      <c r="C1028" t="str">
        <f t="shared" ref="C1028:C1091" si="70">RIGHT(B1028,1)&amp;"호"</f>
        <v>3호</v>
      </c>
      <c r="D1028" t="str">
        <f t="shared" si="69"/>
        <v>14</v>
      </c>
      <c r="E1028" t="str">
        <f t="shared" ref="E1028:E1091" si="71">A1028&amp;C1028&amp;D1028</f>
        <v>2193호14</v>
      </c>
    </row>
    <row r="1029" spans="1:5" ht="16.5" customHeight="1" x14ac:dyDescent="0.4">
      <c r="A1029">
        <v>219</v>
      </c>
      <c r="B1029" s="24">
        <v>1404</v>
      </c>
      <c r="C1029" t="str">
        <f t="shared" si="70"/>
        <v>4호</v>
      </c>
      <c r="D1029" t="str">
        <f t="shared" si="69"/>
        <v>14</v>
      </c>
      <c r="E1029" t="str">
        <f t="shared" si="71"/>
        <v>2194호14</v>
      </c>
    </row>
    <row r="1030" spans="1:5" ht="16.5" customHeight="1" x14ac:dyDescent="0.4">
      <c r="A1030">
        <v>219</v>
      </c>
      <c r="B1030" s="9">
        <v>1405</v>
      </c>
      <c r="C1030" t="str">
        <f t="shared" si="70"/>
        <v>5호</v>
      </c>
      <c r="D1030" t="str">
        <f t="shared" si="69"/>
        <v>14</v>
      </c>
      <c r="E1030" t="str">
        <f t="shared" si="71"/>
        <v>2195호14</v>
      </c>
    </row>
    <row r="1031" spans="1:5" ht="16.5" customHeight="1" x14ac:dyDescent="0.4">
      <c r="A1031">
        <v>220</v>
      </c>
      <c r="B1031" s="9">
        <v>101</v>
      </c>
      <c r="C1031" t="str">
        <f t="shared" si="70"/>
        <v>1호</v>
      </c>
      <c r="D1031" t="str">
        <f t="shared" ref="D1031:D1075" si="72">LEFT(B1031,1)</f>
        <v>1</v>
      </c>
      <c r="E1031" t="str">
        <f t="shared" si="71"/>
        <v>2201호1</v>
      </c>
    </row>
    <row r="1032" spans="1:5" ht="16.5" customHeight="1" x14ac:dyDescent="0.4">
      <c r="A1032">
        <v>220</v>
      </c>
      <c r="B1032" s="9">
        <v>102</v>
      </c>
      <c r="C1032" t="str">
        <f t="shared" si="70"/>
        <v>2호</v>
      </c>
      <c r="D1032" t="str">
        <f t="shared" si="72"/>
        <v>1</v>
      </c>
      <c r="E1032" t="str">
        <f t="shared" si="71"/>
        <v>2202호1</v>
      </c>
    </row>
    <row r="1033" spans="1:5" ht="16.5" customHeight="1" x14ac:dyDescent="0.4">
      <c r="A1033">
        <v>220</v>
      </c>
      <c r="B1033" s="9">
        <v>103</v>
      </c>
      <c r="C1033" t="str">
        <f t="shared" si="70"/>
        <v>3호</v>
      </c>
      <c r="D1033" t="str">
        <f t="shared" si="72"/>
        <v>1</v>
      </c>
      <c r="E1033" t="str">
        <f t="shared" si="71"/>
        <v>2203호1</v>
      </c>
    </row>
    <row r="1034" spans="1:5" ht="16.5" customHeight="1" x14ac:dyDescent="0.4">
      <c r="A1034">
        <v>220</v>
      </c>
      <c r="B1034" s="9">
        <v>104</v>
      </c>
      <c r="C1034" t="str">
        <f t="shared" si="70"/>
        <v>4호</v>
      </c>
      <c r="D1034" t="str">
        <f t="shared" si="72"/>
        <v>1</v>
      </c>
      <c r="E1034" t="str">
        <f t="shared" si="71"/>
        <v>2204호1</v>
      </c>
    </row>
    <row r="1035" spans="1:5" ht="16.5" customHeight="1" x14ac:dyDescent="0.4">
      <c r="A1035">
        <v>220</v>
      </c>
      <c r="B1035" s="9">
        <v>105</v>
      </c>
      <c r="C1035" t="str">
        <f t="shared" si="70"/>
        <v>5호</v>
      </c>
      <c r="D1035" t="str">
        <f t="shared" si="72"/>
        <v>1</v>
      </c>
      <c r="E1035" t="str">
        <f t="shared" si="71"/>
        <v>2205호1</v>
      </c>
    </row>
    <row r="1036" spans="1:5" ht="16.5" customHeight="1" x14ac:dyDescent="0.4">
      <c r="A1036">
        <v>220</v>
      </c>
      <c r="B1036" s="9">
        <v>201</v>
      </c>
      <c r="C1036" t="str">
        <f t="shared" si="70"/>
        <v>1호</v>
      </c>
      <c r="D1036" t="str">
        <f t="shared" si="72"/>
        <v>2</v>
      </c>
      <c r="E1036" t="str">
        <f t="shared" si="71"/>
        <v>2201호2</v>
      </c>
    </row>
    <row r="1037" spans="1:5" ht="16.5" customHeight="1" x14ac:dyDescent="0.4">
      <c r="A1037">
        <v>220</v>
      </c>
      <c r="B1037" s="9">
        <v>202</v>
      </c>
      <c r="C1037" t="str">
        <f t="shared" si="70"/>
        <v>2호</v>
      </c>
      <c r="D1037" t="str">
        <f t="shared" si="72"/>
        <v>2</v>
      </c>
      <c r="E1037" t="str">
        <f t="shared" si="71"/>
        <v>2202호2</v>
      </c>
    </row>
    <row r="1038" spans="1:5" ht="16.5" customHeight="1" x14ac:dyDescent="0.4">
      <c r="A1038">
        <v>220</v>
      </c>
      <c r="B1038" s="9">
        <v>203</v>
      </c>
      <c r="C1038" t="str">
        <f t="shared" si="70"/>
        <v>3호</v>
      </c>
      <c r="D1038" t="str">
        <f t="shared" si="72"/>
        <v>2</v>
      </c>
      <c r="E1038" t="str">
        <f t="shared" si="71"/>
        <v>2203호2</v>
      </c>
    </row>
    <row r="1039" spans="1:5" ht="16.5" customHeight="1" x14ac:dyDescent="0.4">
      <c r="A1039">
        <v>220</v>
      </c>
      <c r="B1039" s="9">
        <v>204</v>
      </c>
      <c r="C1039" t="str">
        <f t="shared" si="70"/>
        <v>4호</v>
      </c>
      <c r="D1039" t="str">
        <f t="shared" si="72"/>
        <v>2</v>
      </c>
      <c r="E1039" t="str">
        <f t="shared" si="71"/>
        <v>2204호2</v>
      </c>
    </row>
    <row r="1040" spans="1:5" ht="16.5" customHeight="1" x14ac:dyDescent="0.4">
      <c r="A1040">
        <v>220</v>
      </c>
      <c r="B1040" s="22">
        <v>205</v>
      </c>
      <c r="C1040" t="str">
        <f t="shared" si="70"/>
        <v>5호</v>
      </c>
      <c r="D1040" t="str">
        <f t="shared" si="72"/>
        <v>2</v>
      </c>
      <c r="E1040" t="str">
        <f t="shared" si="71"/>
        <v>2205호2</v>
      </c>
    </row>
    <row r="1041" spans="1:5" ht="16.5" customHeight="1" x14ac:dyDescent="0.4">
      <c r="A1041">
        <v>220</v>
      </c>
      <c r="B1041" s="11">
        <v>301</v>
      </c>
      <c r="C1041" t="str">
        <f t="shared" si="70"/>
        <v>1호</v>
      </c>
      <c r="D1041" t="str">
        <f t="shared" si="72"/>
        <v>3</v>
      </c>
      <c r="E1041" t="str">
        <f t="shared" si="71"/>
        <v>2201호3</v>
      </c>
    </row>
    <row r="1042" spans="1:5" ht="16.5" customHeight="1" x14ac:dyDescent="0.4">
      <c r="A1042">
        <v>220</v>
      </c>
      <c r="B1042" s="11">
        <v>302</v>
      </c>
      <c r="C1042" t="str">
        <f t="shared" si="70"/>
        <v>2호</v>
      </c>
      <c r="D1042" t="str">
        <f t="shared" si="72"/>
        <v>3</v>
      </c>
      <c r="E1042" t="str">
        <f t="shared" si="71"/>
        <v>2202호3</v>
      </c>
    </row>
    <row r="1043" spans="1:5" ht="16.5" customHeight="1" x14ac:dyDescent="0.4">
      <c r="A1043">
        <v>220</v>
      </c>
      <c r="B1043" s="11">
        <v>303</v>
      </c>
      <c r="C1043" t="str">
        <f t="shared" si="70"/>
        <v>3호</v>
      </c>
      <c r="D1043" t="str">
        <f t="shared" si="72"/>
        <v>3</v>
      </c>
      <c r="E1043" t="str">
        <f t="shared" si="71"/>
        <v>2203호3</v>
      </c>
    </row>
    <row r="1044" spans="1:5" ht="16.5" customHeight="1" x14ac:dyDescent="0.4">
      <c r="A1044">
        <v>220</v>
      </c>
      <c r="B1044" s="11">
        <v>304</v>
      </c>
      <c r="C1044" t="str">
        <f t="shared" si="70"/>
        <v>4호</v>
      </c>
      <c r="D1044" t="str">
        <f t="shared" si="72"/>
        <v>3</v>
      </c>
      <c r="E1044" t="str">
        <f t="shared" si="71"/>
        <v>2204호3</v>
      </c>
    </row>
    <row r="1045" spans="1:5" ht="16.5" customHeight="1" x14ac:dyDescent="0.4">
      <c r="A1045">
        <v>220</v>
      </c>
      <c r="B1045" s="11">
        <v>305</v>
      </c>
      <c r="C1045" t="str">
        <f t="shared" si="70"/>
        <v>5호</v>
      </c>
      <c r="D1045" t="str">
        <f t="shared" si="72"/>
        <v>3</v>
      </c>
      <c r="E1045" t="str">
        <f t="shared" si="71"/>
        <v>2205호3</v>
      </c>
    </row>
    <row r="1046" spans="1:5" ht="16.5" customHeight="1" x14ac:dyDescent="0.4">
      <c r="A1046">
        <v>220</v>
      </c>
      <c r="B1046" s="11">
        <v>401</v>
      </c>
      <c r="C1046" t="str">
        <f t="shared" si="70"/>
        <v>1호</v>
      </c>
      <c r="D1046" t="str">
        <f t="shared" si="72"/>
        <v>4</v>
      </c>
      <c r="E1046" t="str">
        <f t="shared" si="71"/>
        <v>2201호4</v>
      </c>
    </row>
    <row r="1047" spans="1:5" ht="16.5" customHeight="1" x14ac:dyDescent="0.4">
      <c r="A1047">
        <v>220</v>
      </c>
      <c r="B1047" s="11">
        <v>402</v>
      </c>
      <c r="C1047" t="str">
        <f t="shared" si="70"/>
        <v>2호</v>
      </c>
      <c r="D1047" t="str">
        <f t="shared" si="72"/>
        <v>4</v>
      </c>
      <c r="E1047" t="str">
        <f t="shared" si="71"/>
        <v>2202호4</v>
      </c>
    </row>
    <row r="1048" spans="1:5" ht="16.5" customHeight="1" x14ac:dyDescent="0.4">
      <c r="A1048">
        <v>220</v>
      </c>
      <c r="B1048" s="11">
        <v>403</v>
      </c>
      <c r="C1048" t="str">
        <f t="shared" si="70"/>
        <v>3호</v>
      </c>
      <c r="D1048" t="str">
        <f t="shared" si="72"/>
        <v>4</v>
      </c>
      <c r="E1048" t="str">
        <f t="shared" si="71"/>
        <v>2203호4</v>
      </c>
    </row>
    <row r="1049" spans="1:5" ht="16.5" customHeight="1" x14ac:dyDescent="0.4">
      <c r="A1049">
        <v>220</v>
      </c>
      <c r="B1049" s="11">
        <v>404</v>
      </c>
      <c r="C1049" t="str">
        <f t="shared" si="70"/>
        <v>4호</v>
      </c>
      <c r="D1049" t="str">
        <f t="shared" si="72"/>
        <v>4</v>
      </c>
      <c r="E1049" t="str">
        <f t="shared" si="71"/>
        <v>2204호4</v>
      </c>
    </row>
    <row r="1050" spans="1:5" ht="16.5" customHeight="1" x14ac:dyDescent="0.4">
      <c r="A1050">
        <v>220</v>
      </c>
      <c r="B1050" s="11">
        <v>405</v>
      </c>
      <c r="C1050" t="str">
        <f t="shared" si="70"/>
        <v>5호</v>
      </c>
      <c r="D1050" t="str">
        <f t="shared" si="72"/>
        <v>4</v>
      </c>
      <c r="E1050" t="str">
        <f t="shared" si="71"/>
        <v>2205호4</v>
      </c>
    </row>
    <row r="1051" spans="1:5" ht="16.5" customHeight="1" x14ac:dyDescent="0.4">
      <c r="A1051">
        <v>220</v>
      </c>
      <c r="B1051" s="24">
        <v>501</v>
      </c>
      <c r="C1051" t="str">
        <f t="shared" si="70"/>
        <v>1호</v>
      </c>
      <c r="D1051" t="str">
        <f t="shared" si="72"/>
        <v>5</v>
      </c>
      <c r="E1051" t="str">
        <f t="shared" si="71"/>
        <v>2201호5</v>
      </c>
    </row>
    <row r="1052" spans="1:5" ht="16.5" customHeight="1" x14ac:dyDescent="0.4">
      <c r="A1052">
        <v>220</v>
      </c>
      <c r="B1052" s="11">
        <v>502</v>
      </c>
      <c r="C1052" t="str">
        <f t="shared" si="70"/>
        <v>2호</v>
      </c>
      <c r="D1052" t="str">
        <f t="shared" si="72"/>
        <v>5</v>
      </c>
      <c r="E1052" t="str">
        <f t="shared" si="71"/>
        <v>2202호5</v>
      </c>
    </row>
    <row r="1053" spans="1:5" ht="16.5" customHeight="1" x14ac:dyDescent="0.4">
      <c r="A1053">
        <v>220</v>
      </c>
      <c r="B1053" s="11">
        <v>503</v>
      </c>
      <c r="C1053" t="str">
        <f t="shared" si="70"/>
        <v>3호</v>
      </c>
      <c r="D1053" t="str">
        <f t="shared" si="72"/>
        <v>5</v>
      </c>
      <c r="E1053" t="str">
        <f t="shared" si="71"/>
        <v>2203호5</v>
      </c>
    </row>
    <row r="1054" spans="1:5" ht="16.5" customHeight="1" x14ac:dyDescent="0.4">
      <c r="A1054">
        <v>220</v>
      </c>
      <c r="B1054" s="11">
        <v>504</v>
      </c>
      <c r="C1054" t="str">
        <f t="shared" si="70"/>
        <v>4호</v>
      </c>
      <c r="D1054" t="str">
        <f t="shared" si="72"/>
        <v>5</v>
      </c>
      <c r="E1054" t="str">
        <f t="shared" si="71"/>
        <v>2204호5</v>
      </c>
    </row>
    <row r="1055" spans="1:5" ht="16.5" customHeight="1" x14ac:dyDescent="0.4">
      <c r="A1055">
        <v>220</v>
      </c>
      <c r="B1055" s="11">
        <v>505</v>
      </c>
      <c r="C1055" t="str">
        <f t="shared" si="70"/>
        <v>5호</v>
      </c>
      <c r="D1055" t="str">
        <f t="shared" si="72"/>
        <v>5</v>
      </c>
      <c r="E1055" t="str">
        <f t="shared" si="71"/>
        <v>2205호5</v>
      </c>
    </row>
    <row r="1056" spans="1:5" ht="16.5" customHeight="1" x14ac:dyDescent="0.4">
      <c r="A1056">
        <v>220</v>
      </c>
      <c r="B1056" s="11">
        <v>601</v>
      </c>
      <c r="C1056" t="str">
        <f t="shared" si="70"/>
        <v>1호</v>
      </c>
      <c r="D1056" t="str">
        <f t="shared" si="72"/>
        <v>6</v>
      </c>
      <c r="E1056" t="str">
        <f t="shared" si="71"/>
        <v>2201호6</v>
      </c>
    </row>
    <row r="1057" spans="1:5" ht="16.5" customHeight="1" x14ac:dyDescent="0.4">
      <c r="A1057">
        <v>220</v>
      </c>
      <c r="B1057" s="11">
        <v>602</v>
      </c>
      <c r="C1057" t="str">
        <f t="shared" si="70"/>
        <v>2호</v>
      </c>
      <c r="D1057" t="str">
        <f t="shared" si="72"/>
        <v>6</v>
      </c>
      <c r="E1057" t="str">
        <f t="shared" si="71"/>
        <v>2202호6</v>
      </c>
    </row>
    <row r="1058" spans="1:5" ht="16.5" customHeight="1" x14ac:dyDescent="0.4">
      <c r="A1058">
        <v>220</v>
      </c>
      <c r="B1058" s="11">
        <v>603</v>
      </c>
      <c r="C1058" t="str">
        <f t="shared" si="70"/>
        <v>3호</v>
      </c>
      <c r="D1058" t="str">
        <f t="shared" si="72"/>
        <v>6</v>
      </c>
      <c r="E1058" t="str">
        <f t="shared" si="71"/>
        <v>2203호6</v>
      </c>
    </row>
    <row r="1059" spans="1:5" ht="16.5" customHeight="1" x14ac:dyDescent="0.4">
      <c r="A1059">
        <v>220</v>
      </c>
      <c r="B1059" s="11">
        <v>604</v>
      </c>
      <c r="C1059" t="str">
        <f t="shared" si="70"/>
        <v>4호</v>
      </c>
      <c r="D1059" t="str">
        <f t="shared" si="72"/>
        <v>6</v>
      </c>
      <c r="E1059" t="str">
        <f t="shared" si="71"/>
        <v>2204호6</v>
      </c>
    </row>
    <row r="1060" spans="1:5" ht="16.5" customHeight="1" x14ac:dyDescent="0.4">
      <c r="A1060">
        <v>220</v>
      </c>
      <c r="B1060" s="11">
        <v>605</v>
      </c>
      <c r="C1060" t="str">
        <f t="shared" si="70"/>
        <v>5호</v>
      </c>
      <c r="D1060" t="str">
        <f t="shared" si="72"/>
        <v>6</v>
      </c>
      <c r="E1060" t="str">
        <f t="shared" si="71"/>
        <v>2205호6</v>
      </c>
    </row>
    <row r="1061" spans="1:5" ht="16.5" customHeight="1" x14ac:dyDescent="0.4">
      <c r="A1061">
        <v>220</v>
      </c>
      <c r="B1061" s="11">
        <v>701</v>
      </c>
      <c r="C1061" t="str">
        <f t="shared" si="70"/>
        <v>1호</v>
      </c>
      <c r="D1061" t="str">
        <f t="shared" si="72"/>
        <v>7</v>
      </c>
      <c r="E1061" t="str">
        <f t="shared" si="71"/>
        <v>2201호7</v>
      </c>
    </row>
    <row r="1062" spans="1:5" ht="16.5" customHeight="1" x14ac:dyDescent="0.4">
      <c r="A1062">
        <v>220</v>
      </c>
      <c r="B1062" s="11">
        <v>702</v>
      </c>
      <c r="C1062" t="str">
        <f t="shared" si="70"/>
        <v>2호</v>
      </c>
      <c r="D1062" t="str">
        <f t="shared" si="72"/>
        <v>7</v>
      </c>
      <c r="E1062" t="str">
        <f t="shared" si="71"/>
        <v>2202호7</v>
      </c>
    </row>
    <row r="1063" spans="1:5" ht="16.5" customHeight="1" x14ac:dyDescent="0.4">
      <c r="A1063">
        <v>220</v>
      </c>
      <c r="B1063" s="11">
        <v>703</v>
      </c>
      <c r="C1063" t="str">
        <f t="shared" si="70"/>
        <v>3호</v>
      </c>
      <c r="D1063" t="str">
        <f t="shared" si="72"/>
        <v>7</v>
      </c>
      <c r="E1063" t="str">
        <f t="shared" si="71"/>
        <v>2203호7</v>
      </c>
    </row>
    <row r="1064" spans="1:5" ht="16.5" customHeight="1" x14ac:dyDescent="0.4">
      <c r="A1064">
        <v>220</v>
      </c>
      <c r="B1064" s="11">
        <v>704</v>
      </c>
      <c r="C1064" t="str">
        <f t="shared" si="70"/>
        <v>4호</v>
      </c>
      <c r="D1064" t="str">
        <f t="shared" si="72"/>
        <v>7</v>
      </c>
      <c r="E1064" t="str">
        <f t="shared" si="71"/>
        <v>2204호7</v>
      </c>
    </row>
    <row r="1065" spans="1:5" ht="16.5" customHeight="1" x14ac:dyDescent="0.4">
      <c r="A1065">
        <v>220</v>
      </c>
      <c r="B1065" s="24">
        <v>705</v>
      </c>
      <c r="C1065" t="str">
        <f t="shared" si="70"/>
        <v>5호</v>
      </c>
      <c r="D1065" t="str">
        <f t="shared" si="72"/>
        <v>7</v>
      </c>
      <c r="E1065" t="str">
        <f t="shared" si="71"/>
        <v>2205호7</v>
      </c>
    </row>
    <row r="1066" spans="1:5" ht="16.5" customHeight="1" x14ac:dyDescent="0.4">
      <c r="A1066">
        <v>220</v>
      </c>
      <c r="B1066" s="11">
        <v>801</v>
      </c>
      <c r="C1066" t="str">
        <f t="shared" si="70"/>
        <v>1호</v>
      </c>
      <c r="D1066" t="str">
        <f t="shared" si="72"/>
        <v>8</v>
      </c>
      <c r="E1066" t="str">
        <f t="shared" si="71"/>
        <v>2201호8</v>
      </c>
    </row>
    <row r="1067" spans="1:5" ht="16.5" customHeight="1" x14ac:dyDescent="0.4">
      <c r="A1067">
        <v>220</v>
      </c>
      <c r="B1067" s="11">
        <v>802</v>
      </c>
      <c r="C1067" t="str">
        <f t="shared" si="70"/>
        <v>2호</v>
      </c>
      <c r="D1067" t="str">
        <f t="shared" si="72"/>
        <v>8</v>
      </c>
      <c r="E1067" t="str">
        <f t="shared" si="71"/>
        <v>2202호8</v>
      </c>
    </row>
    <row r="1068" spans="1:5" ht="16.5" customHeight="1" x14ac:dyDescent="0.4">
      <c r="A1068">
        <v>220</v>
      </c>
      <c r="B1068" s="11">
        <v>803</v>
      </c>
      <c r="C1068" t="str">
        <f t="shared" si="70"/>
        <v>3호</v>
      </c>
      <c r="D1068" t="str">
        <f t="shared" si="72"/>
        <v>8</v>
      </c>
      <c r="E1068" t="str">
        <f t="shared" si="71"/>
        <v>2203호8</v>
      </c>
    </row>
    <row r="1069" spans="1:5" ht="16.5" customHeight="1" x14ac:dyDescent="0.4">
      <c r="A1069">
        <v>220</v>
      </c>
      <c r="B1069" s="11">
        <v>804</v>
      </c>
      <c r="C1069" t="str">
        <f t="shared" si="70"/>
        <v>4호</v>
      </c>
      <c r="D1069" t="str">
        <f t="shared" si="72"/>
        <v>8</v>
      </c>
      <c r="E1069" t="str">
        <f t="shared" si="71"/>
        <v>2204호8</v>
      </c>
    </row>
    <row r="1070" spans="1:5" ht="16.5" customHeight="1" x14ac:dyDescent="0.4">
      <c r="A1070">
        <v>220</v>
      </c>
      <c r="B1070" s="11">
        <v>805</v>
      </c>
      <c r="C1070" t="str">
        <f t="shared" si="70"/>
        <v>5호</v>
      </c>
      <c r="D1070" t="str">
        <f t="shared" si="72"/>
        <v>8</v>
      </c>
      <c r="E1070" t="str">
        <f t="shared" si="71"/>
        <v>2205호8</v>
      </c>
    </row>
    <row r="1071" spans="1:5" ht="16.5" customHeight="1" x14ac:dyDescent="0.4">
      <c r="A1071">
        <v>220</v>
      </c>
      <c r="B1071" s="11">
        <v>901</v>
      </c>
      <c r="C1071" t="str">
        <f t="shared" si="70"/>
        <v>1호</v>
      </c>
      <c r="D1071" t="str">
        <f t="shared" si="72"/>
        <v>9</v>
      </c>
      <c r="E1071" t="str">
        <f t="shared" si="71"/>
        <v>2201호9</v>
      </c>
    </row>
    <row r="1072" spans="1:5" ht="16.5" customHeight="1" x14ac:dyDescent="0.4">
      <c r="A1072">
        <v>220</v>
      </c>
      <c r="B1072" s="11">
        <v>902</v>
      </c>
      <c r="C1072" t="str">
        <f t="shared" si="70"/>
        <v>2호</v>
      </c>
      <c r="D1072" t="str">
        <f t="shared" si="72"/>
        <v>9</v>
      </c>
      <c r="E1072" t="str">
        <f t="shared" si="71"/>
        <v>2202호9</v>
      </c>
    </row>
    <row r="1073" spans="1:5" ht="16.5" customHeight="1" x14ac:dyDescent="0.4">
      <c r="A1073">
        <v>220</v>
      </c>
      <c r="B1073" s="11">
        <v>903</v>
      </c>
      <c r="C1073" t="str">
        <f t="shared" si="70"/>
        <v>3호</v>
      </c>
      <c r="D1073" t="str">
        <f t="shared" si="72"/>
        <v>9</v>
      </c>
      <c r="E1073" t="str">
        <f t="shared" si="71"/>
        <v>2203호9</v>
      </c>
    </row>
    <row r="1074" spans="1:5" ht="16.5" customHeight="1" x14ac:dyDescent="0.4">
      <c r="A1074">
        <v>220</v>
      </c>
      <c r="B1074" s="11">
        <v>904</v>
      </c>
      <c r="C1074" t="str">
        <f t="shared" si="70"/>
        <v>4호</v>
      </c>
      <c r="D1074" t="str">
        <f t="shared" si="72"/>
        <v>9</v>
      </c>
      <c r="E1074" t="str">
        <f t="shared" si="71"/>
        <v>2204호9</v>
      </c>
    </row>
    <row r="1075" spans="1:5" ht="16.5" customHeight="1" x14ac:dyDescent="0.4">
      <c r="A1075">
        <v>220</v>
      </c>
      <c r="B1075" s="11">
        <v>905</v>
      </c>
      <c r="C1075" t="str">
        <f t="shared" si="70"/>
        <v>5호</v>
      </c>
      <c r="D1075" t="str">
        <f t="shared" si="72"/>
        <v>9</v>
      </c>
      <c r="E1075" t="str">
        <f t="shared" si="71"/>
        <v>2205호9</v>
      </c>
    </row>
    <row r="1076" spans="1:5" ht="16.5" customHeight="1" x14ac:dyDescent="0.4">
      <c r="A1076">
        <v>220</v>
      </c>
      <c r="B1076" s="11">
        <v>1001</v>
      </c>
      <c r="C1076" t="str">
        <f t="shared" si="70"/>
        <v>1호</v>
      </c>
      <c r="D1076" t="str">
        <f t="shared" ref="D1076:D1094" si="73">LEFT(B1076,2)</f>
        <v>10</v>
      </c>
      <c r="E1076" t="str">
        <f t="shared" si="71"/>
        <v>2201호10</v>
      </c>
    </row>
    <row r="1077" spans="1:5" ht="16.5" customHeight="1" x14ac:dyDescent="0.4">
      <c r="A1077">
        <v>220</v>
      </c>
      <c r="B1077" s="11">
        <v>1002</v>
      </c>
      <c r="C1077" t="str">
        <f t="shared" si="70"/>
        <v>2호</v>
      </c>
      <c r="D1077" t="str">
        <f t="shared" si="73"/>
        <v>10</v>
      </c>
      <c r="E1077" t="str">
        <f t="shared" si="71"/>
        <v>2202호10</v>
      </c>
    </row>
    <row r="1078" spans="1:5" ht="16.5" customHeight="1" x14ac:dyDescent="0.4">
      <c r="A1078">
        <v>220</v>
      </c>
      <c r="B1078" s="11">
        <v>1003</v>
      </c>
      <c r="C1078" t="str">
        <f t="shared" si="70"/>
        <v>3호</v>
      </c>
      <c r="D1078" t="str">
        <f t="shared" si="73"/>
        <v>10</v>
      </c>
      <c r="E1078" t="str">
        <f t="shared" si="71"/>
        <v>2203호10</v>
      </c>
    </row>
    <row r="1079" spans="1:5" ht="16.5" customHeight="1" x14ac:dyDescent="0.4">
      <c r="A1079">
        <v>220</v>
      </c>
      <c r="B1079" s="24">
        <v>1004</v>
      </c>
      <c r="C1079" t="str">
        <f t="shared" si="70"/>
        <v>4호</v>
      </c>
      <c r="D1079" t="str">
        <f t="shared" si="73"/>
        <v>10</v>
      </c>
      <c r="E1079" t="str">
        <f t="shared" si="71"/>
        <v>2204호10</v>
      </c>
    </row>
    <row r="1080" spans="1:5" ht="16.5" customHeight="1" x14ac:dyDescent="0.4">
      <c r="A1080">
        <v>220</v>
      </c>
      <c r="B1080" s="11">
        <v>1005</v>
      </c>
      <c r="C1080" t="str">
        <f t="shared" si="70"/>
        <v>5호</v>
      </c>
      <c r="D1080" t="str">
        <f t="shared" si="73"/>
        <v>10</v>
      </c>
      <c r="E1080" t="str">
        <f t="shared" si="71"/>
        <v>2205호10</v>
      </c>
    </row>
    <row r="1081" spans="1:5" ht="16.5" customHeight="1" x14ac:dyDescent="0.4">
      <c r="A1081">
        <v>220</v>
      </c>
      <c r="B1081" s="11">
        <v>1101</v>
      </c>
      <c r="C1081" t="str">
        <f t="shared" si="70"/>
        <v>1호</v>
      </c>
      <c r="D1081" t="str">
        <f t="shared" si="73"/>
        <v>11</v>
      </c>
      <c r="E1081" t="str">
        <f t="shared" si="71"/>
        <v>2201호11</v>
      </c>
    </row>
    <row r="1082" spans="1:5" ht="16.5" customHeight="1" x14ac:dyDescent="0.4">
      <c r="A1082">
        <v>220</v>
      </c>
      <c r="B1082" s="11">
        <v>1102</v>
      </c>
      <c r="C1082" t="str">
        <f t="shared" si="70"/>
        <v>2호</v>
      </c>
      <c r="D1082" t="str">
        <f t="shared" si="73"/>
        <v>11</v>
      </c>
      <c r="E1082" t="str">
        <f t="shared" si="71"/>
        <v>2202호11</v>
      </c>
    </row>
    <row r="1083" spans="1:5" ht="16.5" customHeight="1" x14ac:dyDescent="0.4">
      <c r="A1083">
        <v>220</v>
      </c>
      <c r="B1083" s="11">
        <v>1103</v>
      </c>
      <c r="C1083" t="str">
        <f t="shared" si="70"/>
        <v>3호</v>
      </c>
      <c r="D1083" t="str">
        <f t="shared" si="73"/>
        <v>11</v>
      </c>
      <c r="E1083" t="str">
        <f t="shared" si="71"/>
        <v>2203호11</v>
      </c>
    </row>
    <row r="1084" spans="1:5" ht="16.5" customHeight="1" x14ac:dyDescent="0.4">
      <c r="A1084">
        <v>220</v>
      </c>
      <c r="B1084" s="11">
        <v>1104</v>
      </c>
      <c r="C1084" t="str">
        <f t="shared" si="70"/>
        <v>4호</v>
      </c>
      <c r="D1084" t="str">
        <f t="shared" si="73"/>
        <v>11</v>
      </c>
      <c r="E1084" t="str">
        <f t="shared" si="71"/>
        <v>2204호11</v>
      </c>
    </row>
    <row r="1085" spans="1:5" ht="16.5" customHeight="1" x14ac:dyDescent="0.4">
      <c r="A1085">
        <v>220</v>
      </c>
      <c r="B1085" s="11">
        <v>1105</v>
      </c>
      <c r="C1085" t="str">
        <f t="shared" si="70"/>
        <v>5호</v>
      </c>
      <c r="D1085" t="str">
        <f t="shared" si="73"/>
        <v>11</v>
      </c>
      <c r="E1085" t="str">
        <f t="shared" si="71"/>
        <v>2205호11</v>
      </c>
    </row>
    <row r="1086" spans="1:5" ht="16.5" customHeight="1" x14ac:dyDescent="0.4">
      <c r="A1086">
        <v>220</v>
      </c>
      <c r="B1086" s="11">
        <v>1203</v>
      </c>
      <c r="C1086" t="str">
        <f t="shared" si="70"/>
        <v>3호</v>
      </c>
      <c r="D1086" t="str">
        <f t="shared" si="73"/>
        <v>12</v>
      </c>
      <c r="E1086" t="str">
        <f t="shared" si="71"/>
        <v>2203호12</v>
      </c>
    </row>
    <row r="1087" spans="1:5" ht="16.5" customHeight="1" x14ac:dyDescent="0.4">
      <c r="A1087">
        <v>220</v>
      </c>
      <c r="B1087" s="11">
        <v>1204</v>
      </c>
      <c r="C1087" t="str">
        <f t="shared" si="70"/>
        <v>4호</v>
      </c>
      <c r="D1087" t="str">
        <f t="shared" si="73"/>
        <v>12</v>
      </c>
      <c r="E1087" t="str">
        <f t="shared" si="71"/>
        <v>2204호12</v>
      </c>
    </row>
    <row r="1088" spans="1:5" ht="16.5" customHeight="1" x14ac:dyDescent="0.4">
      <c r="A1088">
        <v>220</v>
      </c>
      <c r="B1088" s="11">
        <v>1205</v>
      </c>
      <c r="C1088" t="str">
        <f t="shared" si="70"/>
        <v>5호</v>
      </c>
      <c r="D1088" t="str">
        <f t="shared" si="73"/>
        <v>12</v>
      </c>
      <c r="E1088" t="str">
        <f t="shared" si="71"/>
        <v>2205호12</v>
      </c>
    </row>
    <row r="1089" spans="1:5" ht="16.5" customHeight="1" x14ac:dyDescent="0.4">
      <c r="A1089">
        <v>220</v>
      </c>
      <c r="B1089" s="11">
        <v>1303</v>
      </c>
      <c r="C1089" t="str">
        <f t="shared" si="70"/>
        <v>3호</v>
      </c>
      <c r="D1089" t="str">
        <f t="shared" si="73"/>
        <v>13</v>
      </c>
      <c r="E1089" t="str">
        <f t="shared" si="71"/>
        <v>2203호13</v>
      </c>
    </row>
    <row r="1090" spans="1:5" ht="16.5" customHeight="1" x14ac:dyDescent="0.4">
      <c r="A1090">
        <v>220</v>
      </c>
      <c r="B1090" s="11">
        <v>1304</v>
      </c>
      <c r="C1090" t="str">
        <f t="shared" si="70"/>
        <v>4호</v>
      </c>
      <c r="D1090" t="str">
        <f t="shared" si="73"/>
        <v>13</v>
      </c>
      <c r="E1090" t="str">
        <f t="shared" si="71"/>
        <v>2204호13</v>
      </c>
    </row>
    <row r="1091" spans="1:5" ht="16.5" customHeight="1" x14ac:dyDescent="0.4">
      <c r="A1091">
        <v>220</v>
      </c>
      <c r="B1091" s="11">
        <v>1305</v>
      </c>
      <c r="C1091" t="str">
        <f t="shared" si="70"/>
        <v>5호</v>
      </c>
      <c r="D1091" t="str">
        <f t="shared" si="73"/>
        <v>13</v>
      </c>
      <c r="E1091" t="str">
        <f t="shared" si="71"/>
        <v>2205호13</v>
      </c>
    </row>
    <row r="1092" spans="1:5" ht="16.5" customHeight="1" x14ac:dyDescent="0.4">
      <c r="A1092">
        <v>220</v>
      </c>
      <c r="B1092" s="11">
        <v>1403</v>
      </c>
      <c r="C1092" t="str">
        <f t="shared" ref="C1092:C1155" si="74">RIGHT(B1092,1)&amp;"호"</f>
        <v>3호</v>
      </c>
      <c r="D1092" t="str">
        <f t="shared" si="73"/>
        <v>14</v>
      </c>
      <c r="E1092" t="str">
        <f t="shared" ref="E1092:E1155" si="75">A1092&amp;C1092&amp;D1092</f>
        <v>2203호14</v>
      </c>
    </row>
    <row r="1093" spans="1:5" ht="16.5" customHeight="1" x14ac:dyDescent="0.4">
      <c r="A1093">
        <v>220</v>
      </c>
      <c r="B1093" s="24">
        <v>1404</v>
      </c>
      <c r="C1093" t="str">
        <f t="shared" si="74"/>
        <v>4호</v>
      </c>
      <c r="D1093" t="str">
        <f t="shared" si="73"/>
        <v>14</v>
      </c>
      <c r="E1093" t="str">
        <f t="shared" si="75"/>
        <v>2204호14</v>
      </c>
    </row>
    <row r="1094" spans="1:5" ht="16.5" customHeight="1" x14ac:dyDescent="0.4">
      <c r="A1094">
        <v>220</v>
      </c>
      <c r="B1094" s="9">
        <v>1405</v>
      </c>
      <c r="C1094" t="str">
        <f t="shared" si="74"/>
        <v>5호</v>
      </c>
      <c r="D1094" t="str">
        <f t="shared" si="73"/>
        <v>14</v>
      </c>
      <c r="E1094" t="str">
        <f t="shared" si="75"/>
        <v>2205호14</v>
      </c>
    </row>
    <row r="1095" spans="1:5" ht="16.5" customHeight="1" x14ac:dyDescent="0.4">
      <c r="A1095">
        <v>221</v>
      </c>
      <c r="B1095" s="9">
        <v>101</v>
      </c>
      <c r="C1095" t="str">
        <f t="shared" si="74"/>
        <v>1호</v>
      </c>
      <c r="D1095" t="str">
        <f t="shared" ref="D1095:D1130" si="76">LEFT(B1095,1)</f>
        <v>1</v>
      </c>
      <c r="E1095" t="str">
        <f t="shared" si="75"/>
        <v>2211호1</v>
      </c>
    </row>
    <row r="1096" spans="1:5" ht="16.5" customHeight="1" x14ac:dyDescent="0.4">
      <c r="A1096">
        <v>221</v>
      </c>
      <c r="B1096" s="9">
        <v>102</v>
      </c>
      <c r="C1096" t="str">
        <f t="shared" si="74"/>
        <v>2호</v>
      </c>
      <c r="D1096" t="str">
        <f t="shared" si="76"/>
        <v>1</v>
      </c>
      <c r="E1096" t="str">
        <f t="shared" si="75"/>
        <v>2212호1</v>
      </c>
    </row>
    <row r="1097" spans="1:5" ht="16.5" customHeight="1" x14ac:dyDescent="0.4">
      <c r="A1097">
        <v>221</v>
      </c>
      <c r="B1097" s="9">
        <v>103</v>
      </c>
      <c r="C1097" t="str">
        <f t="shared" si="74"/>
        <v>3호</v>
      </c>
      <c r="D1097" t="str">
        <f t="shared" si="76"/>
        <v>1</v>
      </c>
      <c r="E1097" t="str">
        <f t="shared" si="75"/>
        <v>2213호1</v>
      </c>
    </row>
    <row r="1098" spans="1:5" ht="16.5" customHeight="1" x14ac:dyDescent="0.4">
      <c r="A1098">
        <v>221</v>
      </c>
      <c r="B1098" s="9">
        <v>104</v>
      </c>
      <c r="C1098" t="str">
        <f t="shared" si="74"/>
        <v>4호</v>
      </c>
      <c r="D1098" t="str">
        <f t="shared" si="76"/>
        <v>1</v>
      </c>
      <c r="E1098" t="str">
        <f t="shared" si="75"/>
        <v>2214호1</v>
      </c>
    </row>
    <row r="1099" spans="1:5" ht="16.5" customHeight="1" x14ac:dyDescent="0.4">
      <c r="A1099">
        <v>221</v>
      </c>
      <c r="B1099" s="9">
        <v>201</v>
      </c>
      <c r="C1099" t="str">
        <f t="shared" si="74"/>
        <v>1호</v>
      </c>
      <c r="D1099" t="str">
        <f t="shared" si="76"/>
        <v>2</v>
      </c>
      <c r="E1099" t="str">
        <f t="shared" si="75"/>
        <v>2211호2</v>
      </c>
    </row>
    <row r="1100" spans="1:5" ht="16.5" customHeight="1" x14ac:dyDescent="0.4">
      <c r="A1100">
        <v>221</v>
      </c>
      <c r="B1100" s="9">
        <v>202</v>
      </c>
      <c r="C1100" t="str">
        <f t="shared" si="74"/>
        <v>2호</v>
      </c>
      <c r="D1100" t="str">
        <f t="shared" si="76"/>
        <v>2</v>
      </c>
      <c r="E1100" t="str">
        <f t="shared" si="75"/>
        <v>2212호2</v>
      </c>
    </row>
    <row r="1101" spans="1:5" ht="16.5" customHeight="1" x14ac:dyDescent="0.4">
      <c r="A1101">
        <v>221</v>
      </c>
      <c r="B1101" s="9">
        <v>203</v>
      </c>
      <c r="C1101" t="str">
        <f t="shared" si="74"/>
        <v>3호</v>
      </c>
      <c r="D1101" t="str">
        <f t="shared" si="76"/>
        <v>2</v>
      </c>
      <c r="E1101" t="str">
        <f t="shared" si="75"/>
        <v>2213호2</v>
      </c>
    </row>
    <row r="1102" spans="1:5" ht="16.5" customHeight="1" x14ac:dyDescent="0.4">
      <c r="A1102">
        <v>221</v>
      </c>
      <c r="B1102" s="9">
        <v>204</v>
      </c>
      <c r="C1102" t="str">
        <f t="shared" si="74"/>
        <v>4호</v>
      </c>
      <c r="D1102" t="str">
        <f t="shared" si="76"/>
        <v>2</v>
      </c>
      <c r="E1102" t="str">
        <f t="shared" si="75"/>
        <v>2214호2</v>
      </c>
    </row>
    <row r="1103" spans="1:5" ht="16.5" customHeight="1" x14ac:dyDescent="0.4">
      <c r="A1103">
        <v>221</v>
      </c>
      <c r="B1103" s="9">
        <v>301</v>
      </c>
      <c r="C1103" t="str">
        <f t="shared" si="74"/>
        <v>1호</v>
      </c>
      <c r="D1103" t="str">
        <f t="shared" si="76"/>
        <v>3</v>
      </c>
      <c r="E1103" t="str">
        <f t="shared" si="75"/>
        <v>2211호3</v>
      </c>
    </row>
    <row r="1104" spans="1:5" ht="16.5" customHeight="1" x14ac:dyDescent="0.4">
      <c r="A1104">
        <v>221</v>
      </c>
      <c r="B1104" s="9">
        <v>302</v>
      </c>
      <c r="C1104" t="str">
        <f t="shared" si="74"/>
        <v>2호</v>
      </c>
      <c r="D1104" t="str">
        <f t="shared" si="76"/>
        <v>3</v>
      </c>
      <c r="E1104" t="str">
        <f t="shared" si="75"/>
        <v>2212호3</v>
      </c>
    </row>
    <row r="1105" spans="1:5" ht="16.5" customHeight="1" x14ac:dyDescent="0.4">
      <c r="A1105">
        <v>221</v>
      </c>
      <c r="B1105" s="9">
        <v>303</v>
      </c>
      <c r="C1105" t="str">
        <f t="shared" si="74"/>
        <v>3호</v>
      </c>
      <c r="D1105" t="str">
        <f t="shared" si="76"/>
        <v>3</v>
      </c>
      <c r="E1105" t="str">
        <f t="shared" si="75"/>
        <v>2213호3</v>
      </c>
    </row>
    <row r="1106" spans="1:5" ht="16.5" customHeight="1" x14ac:dyDescent="0.4">
      <c r="A1106">
        <v>221</v>
      </c>
      <c r="B1106" s="22">
        <v>304</v>
      </c>
      <c r="C1106" t="str">
        <f t="shared" si="74"/>
        <v>4호</v>
      </c>
      <c r="D1106" t="str">
        <f t="shared" si="76"/>
        <v>3</v>
      </c>
      <c r="E1106" t="str">
        <f t="shared" si="75"/>
        <v>2214호3</v>
      </c>
    </row>
    <row r="1107" spans="1:5" ht="16.5" customHeight="1" x14ac:dyDescent="0.4">
      <c r="A1107">
        <v>221</v>
      </c>
      <c r="B1107" s="11">
        <v>401</v>
      </c>
      <c r="C1107" t="str">
        <f t="shared" si="74"/>
        <v>1호</v>
      </c>
      <c r="D1107" t="str">
        <f t="shared" si="76"/>
        <v>4</v>
      </c>
      <c r="E1107" t="str">
        <f t="shared" si="75"/>
        <v>2211호4</v>
      </c>
    </row>
    <row r="1108" spans="1:5" ht="16.5" customHeight="1" x14ac:dyDescent="0.4">
      <c r="A1108">
        <v>221</v>
      </c>
      <c r="B1108" s="11">
        <v>402</v>
      </c>
      <c r="C1108" t="str">
        <f t="shared" si="74"/>
        <v>2호</v>
      </c>
      <c r="D1108" t="str">
        <f t="shared" si="76"/>
        <v>4</v>
      </c>
      <c r="E1108" t="str">
        <f t="shared" si="75"/>
        <v>2212호4</v>
      </c>
    </row>
    <row r="1109" spans="1:5" ht="16.5" customHeight="1" x14ac:dyDescent="0.4">
      <c r="A1109">
        <v>221</v>
      </c>
      <c r="B1109" s="11">
        <v>403</v>
      </c>
      <c r="C1109" t="str">
        <f t="shared" si="74"/>
        <v>3호</v>
      </c>
      <c r="D1109" t="str">
        <f t="shared" si="76"/>
        <v>4</v>
      </c>
      <c r="E1109" t="str">
        <f t="shared" si="75"/>
        <v>2213호4</v>
      </c>
    </row>
    <row r="1110" spans="1:5" ht="16.5" customHeight="1" x14ac:dyDescent="0.4">
      <c r="A1110">
        <v>221</v>
      </c>
      <c r="B1110" s="11">
        <v>404</v>
      </c>
      <c r="C1110" t="str">
        <f t="shared" si="74"/>
        <v>4호</v>
      </c>
      <c r="D1110" t="str">
        <f t="shared" si="76"/>
        <v>4</v>
      </c>
      <c r="E1110" t="str">
        <f t="shared" si="75"/>
        <v>2214호4</v>
      </c>
    </row>
    <row r="1111" spans="1:5" ht="16.5" customHeight="1" x14ac:dyDescent="0.4">
      <c r="A1111">
        <v>221</v>
      </c>
      <c r="B1111" s="11">
        <v>501</v>
      </c>
      <c r="C1111" t="str">
        <f t="shared" si="74"/>
        <v>1호</v>
      </c>
      <c r="D1111" t="str">
        <f t="shared" si="76"/>
        <v>5</v>
      </c>
      <c r="E1111" t="str">
        <f t="shared" si="75"/>
        <v>2211호5</v>
      </c>
    </row>
    <row r="1112" spans="1:5" ht="16.5" customHeight="1" x14ac:dyDescent="0.4">
      <c r="A1112">
        <v>221</v>
      </c>
      <c r="B1112" s="11">
        <v>502</v>
      </c>
      <c r="C1112" t="str">
        <f t="shared" si="74"/>
        <v>2호</v>
      </c>
      <c r="D1112" t="str">
        <f t="shared" si="76"/>
        <v>5</v>
      </c>
      <c r="E1112" t="str">
        <f t="shared" si="75"/>
        <v>2212호5</v>
      </c>
    </row>
    <row r="1113" spans="1:5" ht="16.5" customHeight="1" x14ac:dyDescent="0.4">
      <c r="A1113">
        <v>221</v>
      </c>
      <c r="B1113" s="11">
        <v>503</v>
      </c>
      <c r="C1113" t="str">
        <f t="shared" si="74"/>
        <v>3호</v>
      </c>
      <c r="D1113" t="str">
        <f t="shared" si="76"/>
        <v>5</v>
      </c>
      <c r="E1113" t="str">
        <f t="shared" si="75"/>
        <v>2213호5</v>
      </c>
    </row>
    <row r="1114" spans="1:5" ht="16.5" customHeight="1" x14ac:dyDescent="0.4">
      <c r="A1114">
        <v>221</v>
      </c>
      <c r="B1114" s="11">
        <v>504</v>
      </c>
      <c r="C1114" t="str">
        <f t="shared" si="74"/>
        <v>4호</v>
      </c>
      <c r="D1114" t="str">
        <f t="shared" si="76"/>
        <v>5</v>
      </c>
      <c r="E1114" t="str">
        <f t="shared" si="75"/>
        <v>2214호5</v>
      </c>
    </row>
    <row r="1115" spans="1:5" ht="16.5" customHeight="1" x14ac:dyDescent="0.4">
      <c r="A1115">
        <v>221</v>
      </c>
      <c r="B1115" s="11">
        <v>601</v>
      </c>
      <c r="C1115" t="str">
        <f t="shared" si="74"/>
        <v>1호</v>
      </c>
      <c r="D1115" t="str">
        <f t="shared" si="76"/>
        <v>6</v>
      </c>
      <c r="E1115" t="str">
        <f t="shared" si="75"/>
        <v>2211호6</v>
      </c>
    </row>
    <row r="1116" spans="1:5" ht="16.5" customHeight="1" x14ac:dyDescent="0.4">
      <c r="A1116">
        <v>221</v>
      </c>
      <c r="B1116" s="11">
        <v>602</v>
      </c>
      <c r="C1116" t="str">
        <f t="shared" si="74"/>
        <v>2호</v>
      </c>
      <c r="D1116" t="str">
        <f t="shared" si="76"/>
        <v>6</v>
      </c>
      <c r="E1116" t="str">
        <f t="shared" si="75"/>
        <v>2212호6</v>
      </c>
    </row>
    <row r="1117" spans="1:5" ht="16.5" customHeight="1" x14ac:dyDescent="0.4">
      <c r="A1117">
        <v>221</v>
      </c>
      <c r="B1117" s="11">
        <v>603</v>
      </c>
      <c r="C1117" t="str">
        <f t="shared" si="74"/>
        <v>3호</v>
      </c>
      <c r="D1117" t="str">
        <f t="shared" si="76"/>
        <v>6</v>
      </c>
      <c r="E1117" t="str">
        <f t="shared" si="75"/>
        <v>2213호6</v>
      </c>
    </row>
    <row r="1118" spans="1:5" ht="16.5" customHeight="1" x14ac:dyDescent="0.4">
      <c r="A1118">
        <v>221</v>
      </c>
      <c r="B1118" s="11">
        <v>604</v>
      </c>
      <c r="C1118" t="str">
        <f t="shared" si="74"/>
        <v>4호</v>
      </c>
      <c r="D1118" t="str">
        <f t="shared" si="76"/>
        <v>6</v>
      </c>
      <c r="E1118" t="str">
        <f t="shared" si="75"/>
        <v>2214호6</v>
      </c>
    </row>
    <row r="1119" spans="1:5" ht="16.5" customHeight="1" x14ac:dyDescent="0.4">
      <c r="A1119">
        <v>221</v>
      </c>
      <c r="B1119" s="11">
        <v>701</v>
      </c>
      <c r="C1119" t="str">
        <f t="shared" si="74"/>
        <v>1호</v>
      </c>
      <c r="D1119" t="str">
        <f t="shared" si="76"/>
        <v>7</v>
      </c>
      <c r="E1119" t="str">
        <f t="shared" si="75"/>
        <v>2211호7</v>
      </c>
    </row>
    <row r="1120" spans="1:5" ht="16.5" customHeight="1" x14ac:dyDescent="0.4">
      <c r="A1120">
        <v>221</v>
      </c>
      <c r="B1120" s="24">
        <v>702</v>
      </c>
      <c r="C1120" t="str">
        <f t="shared" si="74"/>
        <v>2호</v>
      </c>
      <c r="D1120" t="str">
        <f t="shared" si="76"/>
        <v>7</v>
      </c>
      <c r="E1120" t="str">
        <f t="shared" si="75"/>
        <v>2212호7</v>
      </c>
    </row>
    <row r="1121" spans="1:5" ht="16.5" customHeight="1" x14ac:dyDescent="0.4">
      <c r="A1121">
        <v>221</v>
      </c>
      <c r="B1121" s="11">
        <v>703</v>
      </c>
      <c r="C1121" t="str">
        <f t="shared" si="74"/>
        <v>3호</v>
      </c>
      <c r="D1121" t="str">
        <f t="shared" si="76"/>
        <v>7</v>
      </c>
      <c r="E1121" t="str">
        <f t="shared" si="75"/>
        <v>2213호7</v>
      </c>
    </row>
    <row r="1122" spans="1:5" ht="16.5" customHeight="1" x14ac:dyDescent="0.4">
      <c r="A1122">
        <v>221</v>
      </c>
      <c r="B1122" s="11">
        <v>704</v>
      </c>
      <c r="C1122" t="str">
        <f t="shared" si="74"/>
        <v>4호</v>
      </c>
      <c r="D1122" t="str">
        <f t="shared" si="76"/>
        <v>7</v>
      </c>
      <c r="E1122" t="str">
        <f t="shared" si="75"/>
        <v>2214호7</v>
      </c>
    </row>
    <row r="1123" spans="1:5" ht="16.5" customHeight="1" x14ac:dyDescent="0.4">
      <c r="A1123">
        <v>221</v>
      </c>
      <c r="B1123" s="11">
        <v>801</v>
      </c>
      <c r="C1123" t="str">
        <f t="shared" si="74"/>
        <v>1호</v>
      </c>
      <c r="D1123" t="str">
        <f t="shared" si="76"/>
        <v>8</v>
      </c>
      <c r="E1123" t="str">
        <f t="shared" si="75"/>
        <v>2211호8</v>
      </c>
    </row>
    <row r="1124" spans="1:5" ht="16.5" customHeight="1" x14ac:dyDescent="0.4">
      <c r="A1124">
        <v>221</v>
      </c>
      <c r="B1124" s="11">
        <v>802</v>
      </c>
      <c r="C1124" t="str">
        <f t="shared" si="74"/>
        <v>2호</v>
      </c>
      <c r="D1124" t="str">
        <f t="shared" si="76"/>
        <v>8</v>
      </c>
      <c r="E1124" t="str">
        <f t="shared" si="75"/>
        <v>2212호8</v>
      </c>
    </row>
    <row r="1125" spans="1:5" ht="16.5" customHeight="1" x14ac:dyDescent="0.4">
      <c r="A1125">
        <v>221</v>
      </c>
      <c r="B1125" s="11">
        <v>803</v>
      </c>
      <c r="C1125" t="str">
        <f t="shared" si="74"/>
        <v>3호</v>
      </c>
      <c r="D1125" t="str">
        <f t="shared" si="76"/>
        <v>8</v>
      </c>
      <c r="E1125" t="str">
        <f t="shared" si="75"/>
        <v>2213호8</v>
      </c>
    </row>
    <row r="1126" spans="1:5" ht="16.5" customHeight="1" x14ac:dyDescent="0.4">
      <c r="A1126">
        <v>221</v>
      </c>
      <c r="B1126" s="11">
        <v>804</v>
      </c>
      <c r="C1126" t="str">
        <f t="shared" si="74"/>
        <v>4호</v>
      </c>
      <c r="D1126" t="str">
        <f t="shared" si="76"/>
        <v>8</v>
      </c>
      <c r="E1126" t="str">
        <f t="shared" si="75"/>
        <v>2214호8</v>
      </c>
    </row>
    <row r="1127" spans="1:5" ht="16.5" customHeight="1" x14ac:dyDescent="0.4">
      <c r="A1127">
        <v>221</v>
      </c>
      <c r="B1127" s="11">
        <v>901</v>
      </c>
      <c r="C1127" t="str">
        <f t="shared" si="74"/>
        <v>1호</v>
      </c>
      <c r="D1127" t="str">
        <f t="shared" si="76"/>
        <v>9</v>
      </c>
      <c r="E1127" t="str">
        <f t="shared" si="75"/>
        <v>2211호9</v>
      </c>
    </row>
    <row r="1128" spans="1:5" ht="16.5" customHeight="1" x14ac:dyDescent="0.4">
      <c r="A1128">
        <v>221</v>
      </c>
      <c r="B1128" s="11">
        <v>902</v>
      </c>
      <c r="C1128" t="str">
        <f t="shared" si="74"/>
        <v>2호</v>
      </c>
      <c r="D1128" t="str">
        <f t="shared" si="76"/>
        <v>9</v>
      </c>
      <c r="E1128" t="str">
        <f t="shared" si="75"/>
        <v>2212호9</v>
      </c>
    </row>
    <row r="1129" spans="1:5" ht="16.5" customHeight="1" x14ac:dyDescent="0.4">
      <c r="A1129">
        <v>221</v>
      </c>
      <c r="B1129" s="11">
        <v>903</v>
      </c>
      <c r="C1129" t="str">
        <f t="shared" si="74"/>
        <v>3호</v>
      </c>
      <c r="D1129" t="str">
        <f t="shared" si="76"/>
        <v>9</v>
      </c>
      <c r="E1129" t="str">
        <f t="shared" si="75"/>
        <v>2213호9</v>
      </c>
    </row>
    <row r="1130" spans="1:5" ht="16.5" customHeight="1" x14ac:dyDescent="0.4">
      <c r="A1130">
        <v>221</v>
      </c>
      <c r="B1130" s="11">
        <v>904</v>
      </c>
      <c r="C1130" t="str">
        <f t="shared" si="74"/>
        <v>4호</v>
      </c>
      <c r="D1130" t="str">
        <f t="shared" si="76"/>
        <v>9</v>
      </c>
      <c r="E1130" t="str">
        <f t="shared" si="75"/>
        <v>2214호9</v>
      </c>
    </row>
    <row r="1131" spans="1:5" ht="16.5" customHeight="1" x14ac:dyDescent="0.4">
      <c r="A1131">
        <v>221</v>
      </c>
      <c r="B1131" s="11">
        <v>1001</v>
      </c>
      <c r="C1131" t="str">
        <f t="shared" si="74"/>
        <v>1호</v>
      </c>
      <c r="D1131" t="str">
        <f t="shared" ref="D1131:D1149" si="77">LEFT(B1131,2)</f>
        <v>10</v>
      </c>
      <c r="E1131" t="str">
        <f t="shared" si="75"/>
        <v>2211호10</v>
      </c>
    </row>
    <row r="1132" spans="1:5" ht="16.5" customHeight="1" x14ac:dyDescent="0.4">
      <c r="A1132">
        <v>221</v>
      </c>
      <c r="B1132" s="11">
        <v>1002</v>
      </c>
      <c r="C1132" t="str">
        <f t="shared" si="74"/>
        <v>2호</v>
      </c>
      <c r="D1132" t="str">
        <f t="shared" si="77"/>
        <v>10</v>
      </c>
      <c r="E1132" t="str">
        <f t="shared" si="75"/>
        <v>2212호10</v>
      </c>
    </row>
    <row r="1133" spans="1:5" ht="16.5" customHeight="1" x14ac:dyDescent="0.4">
      <c r="A1133">
        <v>221</v>
      </c>
      <c r="B1133" s="11">
        <v>1003</v>
      </c>
      <c r="C1133" t="str">
        <f t="shared" si="74"/>
        <v>3호</v>
      </c>
      <c r="D1133" t="str">
        <f t="shared" si="77"/>
        <v>10</v>
      </c>
      <c r="E1133" t="str">
        <f t="shared" si="75"/>
        <v>2213호10</v>
      </c>
    </row>
    <row r="1134" spans="1:5" ht="16.5" customHeight="1" x14ac:dyDescent="0.4">
      <c r="A1134">
        <v>221</v>
      </c>
      <c r="B1134" s="24">
        <v>1004</v>
      </c>
      <c r="C1134" t="str">
        <f t="shared" si="74"/>
        <v>4호</v>
      </c>
      <c r="D1134" t="str">
        <f t="shared" si="77"/>
        <v>10</v>
      </c>
      <c r="E1134" t="str">
        <f t="shared" si="75"/>
        <v>2214호10</v>
      </c>
    </row>
    <row r="1135" spans="1:5" ht="16.5" customHeight="1" x14ac:dyDescent="0.4">
      <c r="A1135">
        <v>221</v>
      </c>
      <c r="B1135" s="11">
        <v>1101</v>
      </c>
      <c r="C1135" t="str">
        <f t="shared" si="74"/>
        <v>1호</v>
      </c>
      <c r="D1135" t="str">
        <f t="shared" si="77"/>
        <v>11</v>
      </c>
      <c r="E1135" t="str">
        <f t="shared" si="75"/>
        <v>2211호11</v>
      </c>
    </row>
    <row r="1136" spans="1:5" ht="16.5" customHeight="1" x14ac:dyDescent="0.4">
      <c r="A1136">
        <v>221</v>
      </c>
      <c r="B1136" s="11">
        <v>1102</v>
      </c>
      <c r="C1136" t="str">
        <f t="shared" si="74"/>
        <v>2호</v>
      </c>
      <c r="D1136" t="str">
        <f t="shared" si="77"/>
        <v>11</v>
      </c>
      <c r="E1136" t="str">
        <f t="shared" si="75"/>
        <v>2212호11</v>
      </c>
    </row>
    <row r="1137" spans="1:5" ht="16.5" customHeight="1" x14ac:dyDescent="0.4">
      <c r="A1137">
        <v>221</v>
      </c>
      <c r="B1137" s="11">
        <v>1103</v>
      </c>
      <c r="C1137" t="str">
        <f t="shared" si="74"/>
        <v>3호</v>
      </c>
      <c r="D1137" t="str">
        <f t="shared" si="77"/>
        <v>11</v>
      </c>
      <c r="E1137" t="str">
        <f t="shared" si="75"/>
        <v>2213호11</v>
      </c>
    </row>
    <row r="1138" spans="1:5" ht="16.5" customHeight="1" x14ac:dyDescent="0.4">
      <c r="A1138">
        <v>221</v>
      </c>
      <c r="B1138" s="11">
        <v>1104</v>
      </c>
      <c r="C1138" t="str">
        <f t="shared" si="74"/>
        <v>4호</v>
      </c>
      <c r="D1138" t="str">
        <f t="shared" si="77"/>
        <v>11</v>
      </c>
      <c r="E1138" t="str">
        <f t="shared" si="75"/>
        <v>2214호11</v>
      </c>
    </row>
    <row r="1139" spans="1:5" ht="16.5" customHeight="1" x14ac:dyDescent="0.4">
      <c r="A1139">
        <v>221</v>
      </c>
      <c r="B1139" s="11">
        <v>1201</v>
      </c>
      <c r="C1139" t="str">
        <f t="shared" si="74"/>
        <v>1호</v>
      </c>
      <c r="D1139" t="str">
        <f t="shared" si="77"/>
        <v>12</v>
      </c>
      <c r="E1139" t="str">
        <f t="shared" si="75"/>
        <v>2211호12</v>
      </c>
    </row>
    <row r="1140" spans="1:5" ht="16.5" customHeight="1" x14ac:dyDescent="0.4">
      <c r="A1140">
        <v>221</v>
      </c>
      <c r="B1140" s="11">
        <v>1202</v>
      </c>
      <c r="C1140" t="str">
        <f t="shared" si="74"/>
        <v>2호</v>
      </c>
      <c r="D1140" t="str">
        <f t="shared" si="77"/>
        <v>12</v>
      </c>
      <c r="E1140" t="str">
        <f t="shared" si="75"/>
        <v>2212호12</v>
      </c>
    </row>
    <row r="1141" spans="1:5" ht="16.5" customHeight="1" x14ac:dyDescent="0.4">
      <c r="A1141">
        <v>221</v>
      </c>
      <c r="B1141" s="11">
        <v>1203</v>
      </c>
      <c r="C1141" t="str">
        <f t="shared" si="74"/>
        <v>3호</v>
      </c>
      <c r="D1141" t="str">
        <f t="shared" si="77"/>
        <v>12</v>
      </c>
      <c r="E1141" t="str">
        <f t="shared" si="75"/>
        <v>2213호12</v>
      </c>
    </row>
    <row r="1142" spans="1:5" ht="16.5" customHeight="1" x14ac:dyDescent="0.4">
      <c r="A1142">
        <v>221</v>
      </c>
      <c r="B1142" s="11">
        <v>1204</v>
      </c>
      <c r="C1142" t="str">
        <f t="shared" si="74"/>
        <v>4호</v>
      </c>
      <c r="D1142" t="str">
        <f t="shared" si="77"/>
        <v>12</v>
      </c>
      <c r="E1142" t="str">
        <f t="shared" si="75"/>
        <v>2214호12</v>
      </c>
    </row>
    <row r="1143" spans="1:5" ht="16.5" customHeight="1" x14ac:dyDescent="0.4">
      <c r="A1143">
        <v>221</v>
      </c>
      <c r="B1143" s="11">
        <v>1301</v>
      </c>
      <c r="C1143" t="str">
        <f t="shared" si="74"/>
        <v>1호</v>
      </c>
      <c r="D1143" t="str">
        <f t="shared" si="77"/>
        <v>13</v>
      </c>
      <c r="E1143" t="str">
        <f t="shared" si="75"/>
        <v>2211호13</v>
      </c>
    </row>
    <row r="1144" spans="1:5" ht="16.5" customHeight="1" x14ac:dyDescent="0.4">
      <c r="A1144">
        <v>221</v>
      </c>
      <c r="B1144" s="11">
        <v>1302</v>
      </c>
      <c r="C1144" t="str">
        <f t="shared" si="74"/>
        <v>2호</v>
      </c>
      <c r="D1144" t="str">
        <f t="shared" si="77"/>
        <v>13</v>
      </c>
      <c r="E1144" t="str">
        <f t="shared" si="75"/>
        <v>2212호13</v>
      </c>
    </row>
    <row r="1145" spans="1:5" ht="16.5" customHeight="1" x14ac:dyDescent="0.4">
      <c r="A1145">
        <v>221</v>
      </c>
      <c r="B1145" s="11">
        <v>1303</v>
      </c>
      <c r="C1145" t="str">
        <f t="shared" si="74"/>
        <v>3호</v>
      </c>
      <c r="D1145" t="str">
        <f t="shared" si="77"/>
        <v>13</v>
      </c>
      <c r="E1145" t="str">
        <f t="shared" si="75"/>
        <v>2213호13</v>
      </c>
    </row>
    <row r="1146" spans="1:5" ht="16.5" customHeight="1" x14ac:dyDescent="0.4">
      <c r="A1146">
        <v>221</v>
      </c>
      <c r="B1146" s="11">
        <v>1304</v>
      </c>
      <c r="C1146" t="str">
        <f t="shared" si="74"/>
        <v>4호</v>
      </c>
      <c r="D1146" t="str">
        <f t="shared" si="77"/>
        <v>13</v>
      </c>
      <c r="E1146" t="str">
        <f t="shared" si="75"/>
        <v>2214호13</v>
      </c>
    </row>
    <row r="1147" spans="1:5" ht="16.5" customHeight="1" x14ac:dyDescent="0.4">
      <c r="A1147">
        <v>221</v>
      </c>
      <c r="B1147" s="11">
        <v>1402</v>
      </c>
      <c r="C1147" t="str">
        <f t="shared" si="74"/>
        <v>2호</v>
      </c>
      <c r="D1147" t="str">
        <f t="shared" si="77"/>
        <v>14</v>
      </c>
      <c r="E1147" t="str">
        <f t="shared" si="75"/>
        <v>2212호14</v>
      </c>
    </row>
    <row r="1148" spans="1:5" ht="16.5" customHeight="1" x14ac:dyDescent="0.4">
      <c r="A1148">
        <v>221</v>
      </c>
      <c r="B1148" s="24">
        <v>1403</v>
      </c>
      <c r="C1148" t="str">
        <f t="shared" si="74"/>
        <v>3호</v>
      </c>
      <c r="D1148" t="str">
        <f t="shared" si="77"/>
        <v>14</v>
      </c>
      <c r="E1148" t="str">
        <f t="shared" si="75"/>
        <v>2213호14</v>
      </c>
    </row>
    <row r="1149" spans="1:5" ht="16.5" customHeight="1" x14ac:dyDescent="0.4">
      <c r="A1149">
        <v>221</v>
      </c>
      <c r="B1149" s="9">
        <v>1404</v>
      </c>
      <c r="C1149" t="str">
        <f t="shared" si="74"/>
        <v>4호</v>
      </c>
      <c r="D1149" t="str">
        <f t="shared" si="77"/>
        <v>14</v>
      </c>
      <c r="E1149" t="str">
        <f t="shared" si="75"/>
        <v>2214호14</v>
      </c>
    </row>
    <row r="1150" spans="1:5" ht="16.5" customHeight="1" x14ac:dyDescent="0.4">
      <c r="A1150">
        <v>222</v>
      </c>
      <c r="B1150" s="9">
        <v>101</v>
      </c>
      <c r="C1150" t="str">
        <f t="shared" si="74"/>
        <v>1호</v>
      </c>
      <c r="D1150" t="str">
        <f t="shared" ref="D1150:D1185" si="78">LEFT(B1150,1)</f>
        <v>1</v>
      </c>
      <c r="E1150" t="str">
        <f t="shared" si="75"/>
        <v>2221호1</v>
      </c>
    </row>
    <row r="1151" spans="1:5" ht="16.5" customHeight="1" x14ac:dyDescent="0.4">
      <c r="A1151">
        <v>222</v>
      </c>
      <c r="B1151" s="9">
        <v>102</v>
      </c>
      <c r="C1151" t="str">
        <f t="shared" si="74"/>
        <v>2호</v>
      </c>
      <c r="D1151" t="str">
        <f t="shared" si="78"/>
        <v>1</v>
      </c>
      <c r="E1151" t="str">
        <f t="shared" si="75"/>
        <v>2222호1</v>
      </c>
    </row>
    <row r="1152" spans="1:5" ht="16.5" customHeight="1" x14ac:dyDescent="0.4">
      <c r="A1152">
        <v>222</v>
      </c>
      <c r="B1152" s="9">
        <v>103</v>
      </c>
      <c r="C1152" t="str">
        <f t="shared" si="74"/>
        <v>3호</v>
      </c>
      <c r="D1152" t="str">
        <f t="shared" si="78"/>
        <v>1</v>
      </c>
      <c r="E1152" t="str">
        <f t="shared" si="75"/>
        <v>2223호1</v>
      </c>
    </row>
    <row r="1153" spans="1:5" ht="16.5" customHeight="1" x14ac:dyDescent="0.4">
      <c r="A1153">
        <v>222</v>
      </c>
      <c r="B1153" s="9">
        <v>104</v>
      </c>
      <c r="C1153" t="str">
        <f t="shared" si="74"/>
        <v>4호</v>
      </c>
      <c r="D1153" t="str">
        <f t="shared" si="78"/>
        <v>1</v>
      </c>
      <c r="E1153" t="str">
        <f t="shared" si="75"/>
        <v>2224호1</v>
      </c>
    </row>
    <row r="1154" spans="1:5" ht="16.5" customHeight="1" x14ac:dyDescent="0.4">
      <c r="A1154">
        <v>222</v>
      </c>
      <c r="B1154" s="9">
        <v>201</v>
      </c>
      <c r="C1154" t="str">
        <f t="shared" si="74"/>
        <v>1호</v>
      </c>
      <c r="D1154" t="str">
        <f t="shared" si="78"/>
        <v>2</v>
      </c>
      <c r="E1154" t="str">
        <f t="shared" si="75"/>
        <v>2221호2</v>
      </c>
    </row>
    <row r="1155" spans="1:5" ht="16.5" customHeight="1" x14ac:dyDescent="0.4">
      <c r="A1155">
        <v>222</v>
      </c>
      <c r="B1155" s="9">
        <v>202</v>
      </c>
      <c r="C1155" t="str">
        <f t="shared" si="74"/>
        <v>2호</v>
      </c>
      <c r="D1155" t="str">
        <f t="shared" si="78"/>
        <v>2</v>
      </c>
      <c r="E1155" t="str">
        <f t="shared" si="75"/>
        <v>2222호2</v>
      </c>
    </row>
    <row r="1156" spans="1:5" ht="16.5" customHeight="1" x14ac:dyDescent="0.4">
      <c r="A1156">
        <v>222</v>
      </c>
      <c r="B1156" s="9">
        <v>203</v>
      </c>
      <c r="C1156" t="str">
        <f t="shared" ref="C1156:C1219" si="79">RIGHT(B1156,1)&amp;"호"</f>
        <v>3호</v>
      </c>
      <c r="D1156" t="str">
        <f t="shared" si="78"/>
        <v>2</v>
      </c>
      <c r="E1156" t="str">
        <f t="shared" ref="E1156:E1219" si="80">A1156&amp;C1156&amp;D1156</f>
        <v>2223호2</v>
      </c>
    </row>
    <row r="1157" spans="1:5" ht="16.5" customHeight="1" x14ac:dyDescent="0.4">
      <c r="A1157">
        <v>222</v>
      </c>
      <c r="B1157" s="9">
        <v>204</v>
      </c>
      <c r="C1157" t="str">
        <f t="shared" si="79"/>
        <v>4호</v>
      </c>
      <c r="D1157" t="str">
        <f t="shared" si="78"/>
        <v>2</v>
      </c>
      <c r="E1157" t="str">
        <f t="shared" si="80"/>
        <v>2224호2</v>
      </c>
    </row>
    <row r="1158" spans="1:5" ht="16.5" customHeight="1" x14ac:dyDescent="0.4">
      <c r="A1158">
        <v>222</v>
      </c>
      <c r="B1158" s="9">
        <v>301</v>
      </c>
      <c r="C1158" t="str">
        <f t="shared" si="79"/>
        <v>1호</v>
      </c>
      <c r="D1158" t="str">
        <f t="shared" si="78"/>
        <v>3</v>
      </c>
      <c r="E1158" t="str">
        <f t="shared" si="80"/>
        <v>2221호3</v>
      </c>
    </row>
    <row r="1159" spans="1:5" ht="16.5" customHeight="1" x14ac:dyDescent="0.4">
      <c r="A1159">
        <v>222</v>
      </c>
      <c r="B1159" s="9">
        <v>302</v>
      </c>
      <c r="C1159" t="str">
        <f t="shared" si="79"/>
        <v>2호</v>
      </c>
      <c r="D1159" t="str">
        <f t="shared" si="78"/>
        <v>3</v>
      </c>
      <c r="E1159" t="str">
        <f t="shared" si="80"/>
        <v>2222호3</v>
      </c>
    </row>
    <row r="1160" spans="1:5" ht="16.5" customHeight="1" x14ac:dyDescent="0.4">
      <c r="A1160">
        <v>222</v>
      </c>
      <c r="B1160" s="9">
        <v>303</v>
      </c>
      <c r="C1160" t="str">
        <f t="shared" si="79"/>
        <v>3호</v>
      </c>
      <c r="D1160" t="str">
        <f t="shared" si="78"/>
        <v>3</v>
      </c>
      <c r="E1160" t="str">
        <f t="shared" si="80"/>
        <v>2223호3</v>
      </c>
    </row>
    <row r="1161" spans="1:5" ht="16.5" customHeight="1" x14ac:dyDescent="0.4">
      <c r="A1161">
        <v>222</v>
      </c>
      <c r="B1161" s="22">
        <v>304</v>
      </c>
      <c r="C1161" t="str">
        <f t="shared" si="79"/>
        <v>4호</v>
      </c>
      <c r="D1161" t="str">
        <f t="shared" si="78"/>
        <v>3</v>
      </c>
      <c r="E1161" t="str">
        <f t="shared" si="80"/>
        <v>2224호3</v>
      </c>
    </row>
    <row r="1162" spans="1:5" ht="16.5" customHeight="1" x14ac:dyDescent="0.4">
      <c r="A1162">
        <v>222</v>
      </c>
      <c r="B1162" s="11">
        <v>401</v>
      </c>
      <c r="C1162" t="str">
        <f t="shared" si="79"/>
        <v>1호</v>
      </c>
      <c r="D1162" t="str">
        <f t="shared" si="78"/>
        <v>4</v>
      </c>
      <c r="E1162" t="str">
        <f t="shared" si="80"/>
        <v>2221호4</v>
      </c>
    </row>
    <row r="1163" spans="1:5" ht="16.5" customHeight="1" x14ac:dyDescent="0.4">
      <c r="A1163">
        <v>222</v>
      </c>
      <c r="B1163" s="11">
        <v>402</v>
      </c>
      <c r="C1163" t="str">
        <f t="shared" si="79"/>
        <v>2호</v>
      </c>
      <c r="D1163" t="str">
        <f t="shared" si="78"/>
        <v>4</v>
      </c>
      <c r="E1163" t="str">
        <f t="shared" si="80"/>
        <v>2222호4</v>
      </c>
    </row>
    <row r="1164" spans="1:5" ht="16.5" customHeight="1" x14ac:dyDescent="0.4">
      <c r="A1164">
        <v>222</v>
      </c>
      <c r="B1164" s="11">
        <v>403</v>
      </c>
      <c r="C1164" t="str">
        <f t="shared" si="79"/>
        <v>3호</v>
      </c>
      <c r="D1164" t="str">
        <f t="shared" si="78"/>
        <v>4</v>
      </c>
      <c r="E1164" t="str">
        <f t="shared" si="80"/>
        <v>2223호4</v>
      </c>
    </row>
    <row r="1165" spans="1:5" ht="16.5" customHeight="1" x14ac:dyDescent="0.4">
      <c r="A1165">
        <v>222</v>
      </c>
      <c r="B1165" s="11">
        <v>404</v>
      </c>
      <c r="C1165" t="str">
        <f t="shared" si="79"/>
        <v>4호</v>
      </c>
      <c r="D1165" t="str">
        <f t="shared" si="78"/>
        <v>4</v>
      </c>
      <c r="E1165" t="str">
        <f t="shared" si="80"/>
        <v>2224호4</v>
      </c>
    </row>
    <row r="1166" spans="1:5" ht="16.5" customHeight="1" x14ac:dyDescent="0.4">
      <c r="A1166">
        <v>222</v>
      </c>
      <c r="B1166" s="11">
        <v>501</v>
      </c>
      <c r="C1166" t="str">
        <f t="shared" si="79"/>
        <v>1호</v>
      </c>
      <c r="D1166" t="str">
        <f t="shared" si="78"/>
        <v>5</v>
      </c>
      <c r="E1166" t="str">
        <f t="shared" si="80"/>
        <v>2221호5</v>
      </c>
    </row>
    <row r="1167" spans="1:5" ht="16.5" customHeight="1" x14ac:dyDescent="0.4">
      <c r="A1167">
        <v>222</v>
      </c>
      <c r="B1167" s="11">
        <v>502</v>
      </c>
      <c r="C1167" t="str">
        <f t="shared" si="79"/>
        <v>2호</v>
      </c>
      <c r="D1167" t="str">
        <f t="shared" si="78"/>
        <v>5</v>
      </c>
      <c r="E1167" t="str">
        <f t="shared" si="80"/>
        <v>2222호5</v>
      </c>
    </row>
    <row r="1168" spans="1:5" ht="16.5" customHeight="1" x14ac:dyDescent="0.4">
      <c r="A1168">
        <v>222</v>
      </c>
      <c r="B1168" s="11">
        <v>503</v>
      </c>
      <c r="C1168" t="str">
        <f t="shared" si="79"/>
        <v>3호</v>
      </c>
      <c r="D1168" t="str">
        <f t="shared" si="78"/>
        <v>5</v>
      </c>
      <c r="E1168" t="str">
        <f t="shared" si="80"/>
        <v>2223호5</v>
      </c>
    </row>
    <row r="1169" spans="1:5" ht="16.5" customHeight="1" x14ac:dyDescent="0.4">
      <c r="A1169">
        <v>222</v>
      </c>
      <c r="B1169" s="11">
        <v>504</v>
      </c>
      <c r="C1169" t="str">
        <f t="shared" si="79"/>
        <v>4호</v>
      </c>
      <c r="D1169" t="str">
        <f t="shared" si="78"/>
        <v>5</v>
      </c>
      <c r="E1169" t="str">
        <f t="shared" si="80"/>
        <v>2224호5</v>
      </c>
    </row>
    <row r="1170" spans="1:5" ht="16.5" customHeight="1" x14ac:dyDescent="0.4">
      <c r="A1170">
        <v>222</v>
      </c>
      <c r="B1170" s="11">
        <v>601</v>
      </c>
      <c r="C1170" t="str">
        <f t="shared" si="79"/>
        <v>1호</v>
      </c>
      <c r="D1170" t="str">
        <f t="shared" si="78"/>
        <v>6</v>
      </c>
      <c r="E1170" t="str">
        <f t="shared" si="80"/>
        <v>2221호6</v>
      </c>
    </row>
    <row r="1171" spans="1:5" ht="16.5" customHeight="1" x14ac:dyDescent="0.4">
      <c r="A1171">
        <v>222</v>
      </c>
      <c r="B1171" s="11">
        <v>602</v>
      </c>
      <c r="C1171" t="str">
        <f t="shared" si="79"/>
        <v>2호</v>
      </c>
      <c r="D1171" t="str">
        <f t="shared" si="78"/>
        <v>6</v>
      </c>
      <c r="E1171" t="str">
        <f t="shared" si="80"/>
        <v>2222호6</v>
      </c>
    </row>
    <row r="1172" spans="1:5" ht="16.5" customHeight="1" x14ac:dyDescent="0.4">
      <c r="A1172">
        <v>222</v>
      </c>
      <c r="B1172" s="11">
        <v>603</v>
      </c>
      <c r="C1172" t="str">
        <f t="shared" si="79"/>
        <v>3호</v>
      </c>
      <c r="D1172" t="str">
        <f t="shared" si="78"/>
        <v>6</v>
      </c>
      <c r="E1172" t="str">
        <f t="shared" si="80"/>
        <v>2223호6</v>
      </c>
    </row>
    <row r="1173" spans="1:5" ht="16.5" customHeight="1" x14ac:dyDescent="0.4">
      <c r="A1173">
        <v>222</v>
      </c>
      <c r="B1173" s="11">
        <v>604</v>
      </c>
      <c r="C1173" t="str">
        <f t="shared" si="79"/>
        <v>4호</v>
      </c>
      <c r="D1173" t="str">
        <f t="shared" si="78"/>
        <v>6</v>
      </c>
      <c r="E1173" t="str">
        <f t="shared" si="80"/>
        <v>2224호6</v>
      </c>
    </row>
    <row r="1174" spans="1:5" ht="16.5" customHeight="1" x14ac:dyDescent="0.4">
      <c r="A1174">
        <v>222</v>
      </c>
      <c r="B1174" s="11">
        <v>701</v>
      </c>
      <c r="C1174" t="str">
        <f t="shared" si="79"/>
        <v>1호</v>
      </c>
      <c r="D1174" t="str">
        <f t="shared" si="78"/>
        <v>7</v>
      </c>
      <c r="E1174" t="str">
        <f t="shared" si="80"/>
        <v>2221호7</v>
      </c>
    </row>
    <row r="1175" spans="1:5" ht="16.5" customHeight="1" x14ac:dyDescent="0.4">
      <c r="A1175">
        <v>222</v>
      </c>
      <c r="B1175" s="24">
        <v>702</v>
      </c>
      <c r="C1175" t="str">
        <f t="shared" si="79"/>
        <v>2호</v>
      </c>
      <c r="D1175" t="str">
        <f t="shared" si="78"/>
        <v>7</v>
      </c>
      <c r="E1175" t="str">
        <f t="shared" si="80"/>
        <v>2222호7</v>
      </c>
    </row>
    <row r="1176" spans="1:5" ht="16.5" customHeight="1" x14ac:dyDescent="0.4">
      <c r="A1176">
        <v>222</v>
      </c>
      <c r="B1176" s="11">
        <v>703</v>
      </c>
      <c r="C1176" t="str">
        <f t="shared" si="79"/>
        <v>3호</v>
      </c>
      <c r="D1176" t="str">
        <f t="shared" si="78"/>
        <v>7</v>
      </c>
      <c r="E1176" t="str">
        <f t="shared" si="80"/>
        <v>2223호7</v>
      </c>
    </row>
    <row r="1177" spans="1:5" ht="16.5" customHeight="1" x14ac:dyDescent="0.4">
      <c r="A1177">
        <v>222</v>
      </c>
      <c r="B1177" s="11">
        <v>704</v>
      </c>
      <c r="C1177" t="str">
        <f t="shared" si="79"/>
        <v>4호</v>
      </c>
      <c r="D1177" t="str">
        <f t="shared" si="78"/>
        <v>7</v>
      </c>
      <c r="E1177" t="str">
        <f t="shared" si="80"/>
        <v>2224호7</v>
      </c>
    </row>
    <row r="1178" spans="1:5" ht="16.5" customHeight="1" x14ac:dyDescent="0.4">
      <c r="A1178">
        <v>222</v>
      </c>
      <c r="B1178" s="11">
        <v>801</v>
      </c>
      <c r="C1178" t="str">
        <f t="shared" si="79"/>
        <v>1호</v>
      </c>
      <c r="D1178" t="str">
        <f t="shared" si="78"/>
        <v>8</v>
      </c>
      <c r="E1178" t="str">
        <f t="shared" si="80"/>
        <v>2221호8</v>
      </c>
    </row>
    <row r="1179" spans="1:5" ht="16.5" customHeight="1" x14ac:dyDescent="0.4">
      <c r="A1179">
        <v>222</v>
      </c>
      <c r="B1179" s="11">
        <v>802</v>
      </c>
      <c r="C1179" t="str">
        <f t="shared" si="79"/>
        <v>2호</v>
      </c>
      <c r="D1179" t="str">
        <f t="shared" si="78"/>
        <v>8</v>
      </c>
      <c r="E1179" t="str">
        <f t="shared" si="80"/>
        <v>2222호8</v>
      </c>
    </row>
    <row r="1180" spans="1:5" ht="16.5" customHeight="1" x14ac:dyDescent="0.4">
      <c r="A1180">
        <v>222</v>
      </c>
      <c r="B1180" s="11">
        <v>803</v>
      </c>
      <c r="C1180" t="str">
        <f t="shared" si="79"/>
        <v>3호</v>
      </c>
      <c r="D1180" t="str">
        <f t="shared" si="78"/>
        <v>8</v>
      </c>
      <c r="E1180" t="str">
        <f t="shared" si="80"/>
        <v>2223호8</v>
      </c>
    </row>
    <row r="1181" spans="1:5" ht="16.5" customHeight="1" x14ac:dyDescent="0.4">
      <c r="A1181">
        <v>222</v>
      </c>
      <c r="B1181" s="11">
        <v>804</v>
      </c>
      <c r="C1181" t="str">
        <f t="shared" si="79"/>
        <v>4호</v>
      </c>
      <c r="D1181" t="str">
        <f t="shared" si="78"/>
        <v>8</v>
      </c>
      <c r="E1181" t="str">
        <f t="shared" si="80"/>
        <v>2224호8</v>
      </c>
    </row>
    <row r="1182" spans="1:5" ht="16.5" customHeight="1" x14ac:dyDescent="0.4">
      <c r="A1182">
        <v>222</v>
      </c>
      <c r="B1182" s="11">
        <v>901</v>
      </c>
      <c r="C1182" t="str">
        <f t="shared" si="79"/>
        <v>1호</v>
      </c>
      <c r="D1182" t="str">
        <f t="shared" si="78"/>
        <v>9</v>
      </c>
      <c r="E1182" t="str">
        <f t="shared" si="80"/>
        <v>2221호9</v>
      </c>
    </row>
    <row r="1183" spans="1:5" ht="16.5" customHeight="1" x14ac:dyDescent="0.4">
      <c r="A1183">
        <v>222</v>
      </c>
      <c r="B1183" s="11">
        <v>902</v>
      </c>
      <c r="C1183" t="str">
        <f t="shared" si="79"/>
        <v>2호</v>
      </c>
      <c r="D1183" t="str">
        <f t="shared" si="78"/>
        <v>9</v>
      </c>
      <c r="E1183" t="str">
        <f t="shared" si="80"/>
        <v>2222호9</v>
      </c>
    </row>
    <row r="1184" spans="1:5" ht="16.5" customHeight="1" x14ac:dyDescent="0.4">
      <c r="A1184">
        <v>222</v>
      </c>
      <c r="B1184" s="11">
        <v>903</v>
      </c>
      <c r="C1184" t="str">
        <f t="shared" si="79"/>
        <v>3호</v>
      </c>
      <c r="D1184" t="str">
        <f t="shared" si="78"/>
        <v>9</v>
      </c>
      <c r="E1184" t="str">
        <f t="shared" si="80"/>
        <v>2223호9</v>
      </c>
    </row>
    <row r="1185" spans="1:5" ht="16.5" customHeight="1" x14ac:dyDescent="0.4">
      <c r="A1185">
        <v>222</v>
      </c>
      <c r="B1185" s="11">
        <v>904</v>
      </c>
      <c r="C1185" t="str">
        <f t="shared" si="79"/>
        <v>4호</v>
      </c>
      <c r="D1185" t="str">
        <f t="shared" si="78"/>
        <v>9</v>
      </c>
      <c r="E1185" t="str">
        <f t="shared" si="80"/>
        <v>2224호9</v>
      </c>
    </row>
    <row r="1186" spans="1:5" ht="16.5" customHeight="1" x14ac:dyDescent="0.4">
      <c r="A1186">
        <v>222</v>
      </c>
      <c r="B1186" s="11">
        <v>1001</v>
      </c>
      <c r="C1186" t="str">
        <f t="shared" si="79"/>
        <v>1호</v>
      </c>
      <c r="D1186" t="str">
        <f t="shared" ref="D1186:D1204" si="81">LEFT(B1186,2)</f>
        <v>10</v>
      </c>
      <c r="E1186" t="str">
        <f t="shared" si="80"/>
        <v>2221호10</v>
      </c>
    </row>
    <row r="1187" spans="1:5" ht="16.5" customHeight="1" x14ac:dyDescent="0.4">
      <c r="A1187">
        <v>222</v>
      </c>
      <c r="B1187" s="11">
        <v>1002</v>
      </c>
      <c r="C1187" t="str">
        <f t="shared" si="79"/>
        <v>2호</v>
      </c>
      <c r="D1187" t="str">
        <f t="shared" si="81"/>
        <v>10</v>
      </c>
      <c r="E1187" t="str">
        <f t="shared" si="80"/>
        <v>2222호10</v>
      </c>
    </row>
    <row r="1188" spans="1:5" ht="16.5" customHeight="1" x14ac:dyDescent="0.4">
      <c r="A1188">
        <v>222</v>
      </c>
      <c r="B1188" s="11">
        <v>1003</v>
      </c>
      <c r="C1188" t="str">
        <f t="shared" si="79"/>
        <v>3호</v>
      </c>
      <c r="D1188" t="str">
        <f t="shared" si="81"/>
        <v>10</v>
      </c>
      <c r="E1188" t="str">
        <f t="shared" si="80"/>
        <v>2223호10</v>
      </c>
    </row>
    <row r="1189" spans="1:5" ht="16.5" customHeight="1" x14ac:dyDescent="0.4">
      <c r="A1189">
        <v>222</v>
      </c>
      <c r="B1189" s="24">
        <v>1004</v>
      </c>
      <c r="C1189" t="str">
        <f t="shared" si="79"/>
        <v>4호</v>
      </c>
      <c r="D1189" t="str">
        <f t="shared" si="81"/>
        <v>10</v>
      </c>
      <c r="E1189" t="str">
        <f t="shared" si="80"/>
        <v>2224호10</v>
      </c>
    </row>
    <row r="1190" spans="1:5" ht="16.5" customHeight="1" x14ac:dyDescent="0.4">
      <c r="A1190">
        <v>222</v>
      </c>
      <c r="B1190" s="11">
        <v>1101</v>
      </c>
      <c r="C1190" t="str">
        <f t="shared" si="79"/>
        <v>1호</v>
      </c>
      <c r="D1190" t="str">
        <f t="shared" si="81"/>
        <v>11</v>
      </c>
      <c r="E1190" t="str">
        <f t="shared" si="80"/>
        <v>2221호11</v>
      </c>
    </row>
    <row r="1191" spans="1:5" ht="16.5" customHeight="1" x14ac:dyDescent="0.4">
      <c r="A1191">
        <v>222</v>
      </c>
      <c r="B1191" s="11">
        <v>1102</v>
      </c>
      <c r="C1191" t="str">
        <f t="shared" si="79"/>
        <v>2호</v>
      </c>
      <c r="D1191" t="str">
        <f t="shared" si="81"/>
        <v>11</v>
      </c>
      <c r="E1191" t="str">
        <f t="shared" si="80"/>
        <v>2222호11</v>
      </c>
    </row>
    <row r="1192" spans="1:5" ht="16.5" customHeight="1" x14ac:dyDescent="0.4">
      <c r="A1192">
        <v>222</v>
      </c>
      <c r="B1192" s="11">
        <v>1103</v>
      </c>
      <c r="C1192" t="str">
        <f t="shared" si="79"/>
        <v>3호</v>
      </c>
      <c r="D1192" t="str">
        <f t="shared" si="81"/>
        <v>11</v>
      </c>
      <c r="E1192" t="str">
        <f t="shared" si="80"/>
        <v>2223호11</v>
      </c>
    </row>
    <row r="1193" spans="1:5" ht="16.5" customHeight="1" x14ac:dyDescent="0.4">
      <c r="A1193">
        <v>222</v>
      </c>
      <c r="B1193" s="11">
        <v>1104</v>
      </c>
      <c r="C1193" t="str">
        <f t="shared" si="79"/>
        <v>4호</v>
      </c>
      <c r="D1193" t="str">
        <f t="shared" si="81"/>
        <v>11</v>
      </c>
      <c r="E1193" t="str">
        <f t="shared" si="80"/>
        <v>2224호11</v>
      </c>
    </row>
    <row r="1194" spans="1:5" ht="16.5" customHeight="1" x14ac:dyDescent="0.4">
      <c r="A1194">
        <v>222</v>
      </c>
      <c r="B1194" s="11">
        <v>1201</v>
      </c>
      <c r="C1194" t="str">
        <f t="shared" si="79"/>
        <v>1호</v>
      </c>
      <c r="D1194" t="str">
        <f t="shared" si="81"/>
        <v>12</v>
      </c>
      <c r="E1194" t="str">
        <f t="shared" si="80"/>
        <v>2221호12</v>
      </c>
    </row>
    <row r="1195" spans="1:5" ht="16.5" customHeight="1" x14ac:dyDescent="0.4">
      <c r="A1195">
        <v>222</v>
      </c>
      <c r="B1195" s="11">
        <v>1202</v>
      </c>
      <c r="C1195" t="str">
        <f t="shared" si="79"/>
        <v>2호</v>
      </c>
      <c r="D1195" t="str">
        <f t="shared" si="81"/>
        <v>12</v>
      </c>
      <c r="E1195" t="str">
        <f t="shared" si="80"/>
        <v>2222호12</v>
      </c>
    </row>
    <row r="1196" spans="1:5" ht="16.5" customHeight="1" x14ac:dyDescent="0.4">
      <c r="A1196">
        <v>222</v>
      </c>
      <c r="B1196" s="11">
        <v>1203</v>
      </c>
      <c r="C1196" t="str">
        <f t="shared" si="79"/>
        <v>3호</v>
      </c>
      <c r="D1196" t="str">
        <f t="shared" si="81"/>
        <v>12</v>
      </c>
      <c r="E1196" t="str">
        <f t="shared" si="80"/>
        <v>2223호12</v>
      </c>
    </row>
    <row r="1197" spans="1:5" ht="16.5" customHeight="1" x14ac:dyDescent="0.4">
      <c r="A1197">
        <v>222</v>
      </c>
      <c r="B1197" s="11">
        <v>1204</v>
      </c>
      <c r="C1197" t="str">
        <f t="shared" si="79"/>
        <v>4호</v>
      </c>
      <c r="D1197" t="str">
        <f t="shared" si="81"/>
        <v>12</v>
      </c>
      <c r="E1197" t="str">
        <f t="shared" si="80"/>
        <v>2224호12</v>
      </c>
    </row>
    <row r="1198" spans="1:5" ht="16.5" customHeight="1" x14ac:dyDescent="0.4">
      <c r="A1198">
        <v>222</v>
      </c>
      <c r="B1198" s="11">
        <v>1301</v>
      </c>
      <c r="C1198" t="str">
        <f t="shared" si="79"/>
        <v>1호</v>
      </c>
      <c r="D1198" t="str">
        <f t="shared" si="81"/>
        <v>13</v>
      </c>
      <c r="E1198" t="str">
        <f t="shared" si="80"/>
        <v>2221호13</v>
      </c>
    </row>
    <row r="1199" spans="1:5" ht="16.5" customHeight="1" x14ac:dyDescent="0.4">
      <c r="A1199">
        <v>222</v>
      </c>
      <c r="B1199" s="11">
        <v>1302</v>
      </c>
      <c r="C1199" t="str">
        <f t="shared" si="79"/>
        <v>2호</v>
      </c>
      <c r="D1199" t="str">
        <f t="shared" si="81"/>
        <v>13</v>
      </c>
      <c r="E1199" t="str">
        <f t="shared" si="80"/>
        <v>2222호13</v>
      </c>
    </row>
    <row r="1200" spans="1:5" ht="16.5" customHeight="1" x14ac:dyDescent="0.4">
      <c r="A1200">
        <v>222</v>
      </c>
      <c r="B1200" s="11">
        <v>1303</v>
      </c>
      <c r="C1200" t="str">
        <f t="shared" si="79"/>
        <v>3호</v>
      </c>
      <c r="D1200" t="str">
        <f t="shared" si="81"/>
        <v>13</v>
      </c>
      <c r="E1200" t="str">
        <f t="shared" si="80"/>
        <v>2223호13</v>
      </c>
    </row>
    <row r="1201" spans="1:5" ht="16.5" customHeight="1" x14ac:dyDescent="0.4">
      <c r="A1201">
        <v>222</v>
      </c>
      <c r="B1201" s="11">
        <v>1304</v>
      </c>
      <c r="C1201" t="str">
        <f t="shared" si="79"/>
        <v>4호</v>
      </c>
      <c r="D1201" t="str">
        <f t="shared" si="81"/>
        <v>13</v>
      </c>
      <c r="E1201" t="str">
        <f t="shared" si="80"/>
        <v>2224호13</v>
      </c>
    </row>
    <row r="1202" spans="1:5" ht="16.5" customHeight="1" x14ac:dyDescent="0.4">
      <c r="A1202">
        <v>222</v>
      </c>
      <c r="B1202" s="11">
        <v>1402</v>
      </c>
      <c r="C1202" t="str">
        <f t="shared" si="79"/>
        <v>2호</v>
      </c>
      <c r="D1202" t="str">
        <f t="shared" si="81"/>
        <v>14</v>
      </c>
      <c r="E1202" t="str">
        <f t="shared" si="80"/>
        <v>2222호14</v>
      </c>
    </row>
    <row r="1203" spans="1:5" ht="16.5" customHeight="1" x14ac:dyDescent="0.4">
      <c r="A1203">
        <v>222</v>
      </c>
      <c r="B1203" s="24">
        <v>1403</v>
      </c>
      <c r="C1203" t="str">
        <f t="shared" si="79"/>
        <v>3호</v>
      </c>
      <c r="D1203" t="str">
        <f t="shared" si="81"/>
        <v>14</v>
      </c>
      <c r="E1203" t="str">
        <f t="shared" si="80"/>
        <v>2223호14</v>
      </c>
    </row>
    <row r="1204" spans="1:5" ht="16.5" customHeight="1" x14ac:dyDescent="0.4">
      <c r="A1204">
        <v>222</v>
      </c>
      <c r="B1204" s="9">
        <v>1404</v>
      </c>
      <c r="C1204" t="str">
        <f t="shared" si="79"/>
        <v>4호</v>
      </c>
      <c r="D1204" t="str">
        <f t="shared" si="81"/>
        <v>14</v>
      </c>
      <c r="E1204" t="str">
        <f t="shared" si="80"/>
        <v>2224호14</v>
      </c>
    </row>
    <row r="1205" spans="1:5" ht="16.5" customHeight="1" x14ac:dyDescent="0.4">
      <c r="A1205">
        <v>223</v>
      </c>
      <c r="B1205" s="9">
        <v>101</v>
      </c>
      <c r="C1205" t="str">
        <f t="shared" si="79"/>
        <v>1호</v>
      </c>
      <c r="D1205" t="str">
        <f t="shared" ref="D1205:D1249" si="82">LEFT(B1205,1)</f>
        <v>1</v>
      </c>
      <c r="E1205" t="str">
        <f t="shared" si="80"/>
        <v>2231호1</v>
      </c>
    </row>
    <row r="1206" spans="1:5" ht="16.5" customHeight="1" x14ac:dyDescent="0.4">
      <c r="A1206">
        <v>223</v>
      </c>
      <c r="B1206" s="9">
        <v>102</v>
      </c>
      <c r="C1206" t="str">
        <f t="shared" si="79"/>
        <v>2호</v>
      </c>
      <c r="D1206" t="str">
        <f t="shared" si="82"/>
        <v>1</v>
      </c>
      <c r="E1206" t="str">
        <f t="shared" si="80"/>
        <v>2232호1</v>
      </c>
    </row>
    <row r="1207" spans="1:5" ht="16.5" customHeight="1" x14ac:dyDescent="0.4">
      <c r="A1207">
        <v>223</v>
      </c>
      <c r="B1207" s="9">
        <v>103</v>
      </c>
      <c r="C1207" t="str">
        <f t="shared" si="79"/>
        <v>3호</v>
      </c>
      <c r="D1207" t="str">
        <f t="shared" si="82"/>
        <v>1</v>
      </c>
      <c r="E1207" t="str">
        <f t="shared" si="80"/>
        <v>2233호1</v>
      </c>
    </row>
    <row r="1208" spans="1:5" ht="16.5" customHeight="1" x14ac:dyDescent="0.4">
      <c r="A1208">
        <v>223</v>
      </c>
      <c r="B1208" s="9">
        <v>104</v>
      </c>
      <c r="C1208" t="str">
        <f t="shared" si="79"/>
        <v>4호</v>
      </c>
      <c r="D1208" t="str">
        <f t="shared" si="82"/>
        <v>1</v>
      </c>
      <c r="E1208" t="str">
        <f t="shared" si="80"/>
        <v>2234호1</v>
      </c>
    </row>
    <row r="1209" spans="1:5" ht="16.5" customHeight="1" x14ac:dyDescent="0.4">
      <c r="A1209">
        <v>223</v>
      </c>
      <c r="B1209" s="9">
        <v>105</v>
      </c>
      <c r="C1209" t="str">
        <f t="shared" si="79"/>
        <v>5호</v>
      </c>
      <c r="D1209" t="str">
        <f t="shared" si="82"/>
        <v>1</v>
      </c>
      <c r="E1209" t="str">
        <f t="shared" si="80"/>
        <v>2235호1</v>
      </c>
    </row>
    <row r="1210" spans="1:5" ht="16.5" customHeight="1" x14ac:dyDescent="0.4">
      <c r="A1210">
        <v>223</v>
      </c>
      <c r="B1210" s="9">
        <v>201</v>
      </c>
      <c r="C1210" t="str">
        <f t="shared" si="79"/>
        <v>1호</v>
      </c>
      <c r="D1210" t="str">
        <f t="shared" si="82"/>
        <v>2</v>
      </c>
      <c r="E1210" t="str">
        <f t="shared" si="80"/>
        <v>2231호2</v>
      </c>
    </row>
    <row r="1211" spans="1:5" ht="16.5" customHeight="1" x14ac:dyDescent="0.4">
      <c r="A1211">
        <v>223</v>
      </c>
      <c r="B1211" s="9">
        <v>202</v>
      </c>
      <c r="C1211" t="str">
        <f t="shared" si="79"/>
        <v>2호</v>
      </c>
      <c r="D1211" t="str">
        <f t="shared" si="82"/>
        <v>2</v>
      </c>
      <c r="E1211" t="str">
        <f t="shared" si="80"/>
        <v>2232호2</v>
      </c>
    </row>
    <row r="1212" spans="1:5" ht="16.5" customHeight="1" x14ac:dyDescent="0.4">
      <c r="A1212">
        <v>223</v>
      </c>
      <c r="B1212" s="9">
        <v>203</v>
      </c>
      <c r="C1212" t="str">
        <f t="shared" si="79"/>
        <v>3호</v>
      </c>
      <c r="D1212" t="str">
        <f t="shared" si="82"/>
        <v>2</v>
      </c>
      <c r="E1212" t="str">
        <f t="shared" si="80"/>
        <v>2233호2</v>
      </c>
    </row>
    <row r="1213" spans="1:5" ht="16.5" customHeight="1" x14ac:dyDescent="0.4">
      <c r="A1213">
        <v>223</v>
      </c>
      <c r="B1213" s="9">
        <v>204</v>
      </c>
      <c r="C1213" t="str">
        <f t="shared" si="79"/>
        <v>4호</v>
      </c>
      <c r="D1213" t="str">
        <f t="shared" si="82"/>
        <v>2</v>
      </c>
      <c r="E1213" t="str">
        <f t="shared" si="80"/>
        <v>2234호2</v>
      </c>
    </row>
    <row r="1214" spans="1:5" ht="16.5" customHeight="1" x14ac:dyDescent="0.4">
      <c r="A1214">
        <v>223</v>
      </c>
      <c r="B1214" s="22">
        <v>205</v>
      </c>
      <c r="C1214" t="str">
        <f t="shared" si="79"/>
        <v>5호</v>
      </c>
      <c r="D1214" t="str">
        <f t="shared" si="82"/>
        <v>2</v>
      </c>
      <c r="E1214" t="str">
        <f t="shared" si="80"/>
        <v>2235호2</v>
      </c>
    </row>
    <row r="1215" spans="1:5" ht="16.5" customHeight="1" x14ac:dyDescent="0.4">
      <c r="A1215">
        <v>223</v>
      </c>
      <c r="B1215" s="11">
        <v>301</v>
      </c>
      <c r="C1215" t="str">
        <f t="shared" si="79"/>
        <v>1호</v>
      </c>
      <c r="D1215" t="str">
        <f t="shared" si="82"/>
        <v>3</v>
      </c>
      <c r="E1215" t="str">
        <f t="shared" si="80"/>
        <v>2231호3</v>
      </c>
    </row>
    <row r="1216" spans="1:5" ht="16.5" customHeight="1" x14ac:dyDescent="0.4">
      <c r="A1216">
        <v>223</v>
      </c>
      <c r="B1216" s="11">
        <v>302</v>
      </c>
      <c r="C1216" t="str">
        <f t="shared" si="79"/>
        <v>2호</v>
      </c>
      <c r="D1216" t="str">
        <f t="shared" si="82"/>
        <v>3</v>
      </c>
      <c r="E1216" t="str">
        <f t="shared" si="80"/>
        <v>2232호3</v>
      </c>
    </row>
    <row r="1217" spans="1:5" ht="16.5" customHeight="1" x14ac:dyDescent="0.4">
      <c r="A1217">
        <v>223</v>
      </c>
      <c r="B1217" s="11">
        <v>303</v>
      </c>
      <c r="C1217" t="str">
        <f t="shared" si="79"/>
        <v>3호</v>
      </c>
      <c r="D1217" t="str">
        <f t="shared" si="82"/>
        <v>3</v>
      </c>
      <c r="E1217" t="str">
        <f t="shared" si="80"/>
        <v>2233호3</v>
      </c>
    </row>
    <row r="1218" spans="1:5" ht="16.5" customHeight="1" x14ac:dyDescent="0.4">
      <c r="A1218">
        <v>223</v>
      </c>
      <c r="B1218" s="11">
        <v>304</v>
      </c>
      <c r="C1218" t="str">
        <f t="shared" si="79"/>
        <v>4호</v>
      </c>
      <c r="D1218" t="str">
        <f t="shared" si="82"/>
        <v>3</v>
      </c>
      <c r="E1218" t="str">
        <f t="shared" si="80"/>
        <v>2234호3</v>
      </c>
    </row>
    <row r="1219" spans="1:5" ht="16.5" customHeight="1" x14ac:dyDescent="0.4">
      <c r="A1219">
        <v>223</v>
      </c>
      <c r="B1219" s="11">
        <v>305</v>
      </c>
      <c r="C1219" t="str">
        <f t="shared" si="79"/>
        <v>5호</v>
      </c>
      <c r="D1219" t="str">
        <f t="shared" si="82"/>
        <v>3</v>
      </c>
      <c r="E1219" t="str">
        <f t="shared" si="80"/>
        <v>2235호3</v>
      </c>
    </row>
    <row r="1220" spans="1:5" ht="16.5" customHeight="1" x14ac:dyDescent="0.4">
      <c r="A1220">
        <v>223</v>
      </c>
      <c r="B1220" s="11">
        <v>401</v>
      </c>
      <c r="C1220" t="str">
        <f t="shared" ref="C1220:C1283" si="83">RIGHT(B1220,1)&amp;"호"</f>
        <v>1호</v>
      </c>
      <c r="D1220" t="str">
        <f t="shared" si="82"/>
        <v>4</v>
      </c>
      <c r="E1220" t="str">
        <f t="shared" ref="E1220:E1283" si="84">A1220&amp;C1220&amp;D1220</f>
        <v>2231호4</v>
      </c>
    </row>
    <row r="1221" spans="1:5" ht="16.5" customHeight="1" x14ac:dyDescent="0.4">
      <c r="A1221">
        <v>223</v>
      </c>
      <c r="B1221" s="11">
        <v>402</v>
      </c>
      <c r="C1221" t="str">
        <f t="shared" si="83"/>
        <v>2호</v>
      </c>
      <c r="D1221" t="str">
        <f t="shared" si="82"/>
        <v>4</v>
      </c>
      <c r="E1221" t="str">
        <f t="shared" si="84"/>
        <v>2232호4</v>
      </c>
    </row>
    <row r="1222" spans="1:5" ht="16.5" customHeight="1" x14ac:dyDescent="0.4">
      <c r="A1222">
        <v>223</v>
      </c>
      <c r="B1222" s="11">
        <v>403</v>
      </c>
      <c r="C1222" t="str">
        <f t="shared" si="83"/>
        <v>3호</v>
      </c>
      <c r="D1222" t="str">
        <f t="shared" si="82"/>
        <v>4</v>
      </c>
      <c r="E1222" t="str">
        <f t="shared" si="84"/>
        <v>2233호4</v>
      </c>
    </row>
    <row r="1223" spans="1:5" ht="16.5" customHeight="1" x14ac:dyDescent="0.4">
      <c r="A1223">
        <v>223</v>
      </c>
      <c r="B1223" s="11">
        <v>404</v>
      </c>
      <c r="C1223" t="str">
        <f t="shared" si="83"/>
        <v>4호</v>
      </c>
      <c r="D1223" t="str">
        <f t="shared" si="82"/>
        <v>4</v>
      </c>
      <c r="E1223" t="str">
        <f t="shared" si="84"/>
        <v>2234호4</v>
      </c>
    </row>
    <row r="1224" spans="1:5" ht="16.5" customHeight="1" x14ac:dyDescent="0.4">
      <c r="A1224">
        <v>223</v>
      </c>
      <c r="B1224" s="11">
        <v>405</v>
      </c>
      <c r="C1224" t="str">
        <f t="shared" si="83"/>
        <v>5호</v>
      </c>
      <c r="D1224" t="str">
        <f t="shared" si="82"/>
        <v>4</v>
      </c>
      <c r="E1224" t="str">
        <f t="shared" si="84"/>
        <v>2235호4</v>
      </c>
    </row>
    <row r="1225" spans="1:5" ht="16.5" customHeight="1" x14ac:dyDescent="0.4">
      <c r="A1225">
        <v>223</v>
      </c>
      <c r="B1225" s="24">
        <v>501</v>
      </c>
      <c r="C1225" t="str">
        <f t="shared" si="83"/>
        <v>1호</v>
      </c>
      <c r="D1225" t="str">
        <f t="shared" si="82"/>
        <v>5</v>
      </c>
      <c r="E1225" t="str">
        <f t="shared" si="84"/>
        <v>2231호5</v>
      </c>
    </row>
    <row r="1226" spans="1:5" ht="16.5" customHeight="1" x14ac:dyDescent="0.4">
      <c r="A1226">
        <v>223</v>
      </c>
      <c r="B1226" s="11">
        <v>502</v>
      </c>
      <c r="C1226" t="str">
        <f t="shared" si="83"/>
        <v>2호</v>
      </c>
      <c r="D1226" t="str">
        <f t="shared" si="82"/>
        <v>5</v>
      </c>
      <c r="E1226" t="str">
        <f t="shared" si="84"/>
        <v>2232호5</v>
      </c>
    </row>
    <row r="1227" spans="1:5" ht="16.5" customHeight="1" x14ac:dyDescent="0.4">
      <c r="A1227">
        <v>223</v>
      </c>
      <c r="B1227" s="11">
        <v>503</v>
      </c>
      <c r="C1227" t="str">
        <f t="shared" si="83"/>
        <v>3호</v>
      </c>
      <c r="D1227" t="str">
        <f t="shared" si="82"/>
        <v>5</v>
      </c>
      <c r="E1227" t="str">
        <f t="shared" si="84"/>
        <v>2233호5</v>
      </c>
    </row>
    <row r="1228" spans="1:5" ht="16.5" customHeight="1" x14ac:dyDescent="0.4">
      <c r="A1228">
        <v>223</v>
      </c>
      <c r="B1228" s="11">
        <v>504</v>
      </c>
      <c r="C1228" t="str">
        <f t="shared" si="83"/>
        <v>4호</v>
      </c>
      <c r="D1228" t="str">
        <f t="shared" si="82"/>
        <v>5</v>
      </c>
      <c r="E1228" t="str">
        <f t="shared" si="84"/>
        <v>2234호5</v>
      </c>
    </row>
    <row r="1229" spans="1:5" ht="16.5" customHeight="1" x14ac:dyDescent="0.4">
      <c r="A1229">
        <v>223</v>
      </c>
      <c r="B1229" s="11">
        <v>505</v>
      </c>
      <c r="C1229" t="str">
        <f t="shared" si="83"/>
        <v>5호</v>
      </c>
      <c r="D1229" t="str">
        <f t="shared" si="82"/>
        <v>5</v>
      </c>
      <c r="E1229" t="str">
        <f t="shared" si="84"/>
        <v>2235호5</v>
      </c>
    </row>
    <row r="1230" spans="1:5" ht="16.5" customHeight="1" x14ac:dyDescent="0.4">
      <c r="A1230">
        <v>223</v>
      </c>
      <c r="B1230" s="11">
        <v>601</v>
      </c>
      <c r="C1230" t="str">
        <f t="shared" si="83"/>
        <v>1호</v>
      </c>
      <c r="D1230" t="str">
        <f t="shared" si="82"/>
        <v>6</v>
      </c>
      <c r="E1230" t="str">
        <f t="shared" si="84"/>
        <v>2231호6</v>
      </c>
    </row>
    <row r="1231" spans="1:5" ht="16.5" customHeight="1" x14ac:dyDescent="0.4">
      <c r="A1231">
        <v>223</v>
      </c>
      <c r="B1231" s="11">
        <v>602</v>
      </c>
      <c r="C1231" t="str">
        <f t="shared" si="83"/>
        <v>2호</v>
      </c>
      <c r="D1231" t="str">
        <f t="shared" si="82"/>
        <v>6</v>
      </c>
      <c r="E1231" t="str">
        <f t="shared" si="84"/>
        <v>2232호6</v>
      </c>
    </row>
    <row r="1232" spans="1:5" ht="16.5" customHeight="1" x14ac:dyDescent="0.4">
      <c r="A1232">
        <v>223</v>
      </c>
      <c r="B1232" s="11">
        <v>603</v>
      </c>
      <c r="C1232" t="str">
        <f t="shared" si="83"/>
        <v>3호</v>
      </c>
      <c r="D1232" t="str">
        <f t="shared" si="82"/>
        <v>6</v>
      </c>
      <c r="E1232" t="str">
        <f t="shared" si="84"/>
        <v>2233호6</v>
      </c>
    </row>
    <row r="1233" spans="1:5" ht="16.5" customHeight="1" x14ac:dyDescent="0.4">
      <c r="A1233">
        <v>223</v>
      </c>
      <c r="B1233" s="11">
        <v>604</v>
      </c>
      <c r="C1233" t="str">
        <f t="shared" si="83"/>
        <v>4호</v>
      </c>
      <c r="D1233" t="str">
        <f t="shared" si="82"/>
        <v>6</v>
      </c>
      <c r="E1233" t="str">
        <f t="shared" si="84"/>
        <v>2234호6</v>
      </c>
    </row>
    <row r="1234" spans="1:5" ht="16.5" customHeight="1" x14ac:dyDescent="0.4">
      <c r="A1234">
        <v>223</v>
      </c>
      <c r="B1234" s="11">
        <v>605</v>
      </c>
      <c r="C1234" t="str">
        <f t="shared" si="83"/>
        <v>5호</v>
      </c>
      <c r="D1234" t="str">
        <f t="shared" si="82"/>
        <v>6</v>
      </c>
      <c r="E1234" t="str">
        <f t="shared" si="84"/>
        <v>2235호6</v>
      </c>
    </row>
    <row r="1235" spans="1:5" ht="16.5" customHeight="1" x14ac:dyDescent="0.4">
      <c r="A1235">
        <v>223</v>
      </c>
      <c r="B1235" s="11">
        <v>701</v>
      </c>
      <c r="C1235" t="str">
        <f t="shared" si="83"/>
        <v>1호</v>
      </c>
      <c r="D1235" t="str">
        <f t="shared" si="82"/>
        <v>7</v>
      </c>
      <c r="E1235" t="str">
        <f t="shared" si="84"/>
        <v>2231호7</v>
      </c>
    </row>
    <row r="1236" spans="1:5" ht="16.5" customHeight="1" x14ac:dyDescent="0.4">
      <c r="A1236">
        <v>223</v>
      </c>
      <c r="B1236" s="11">
        <v>702</v>
      </c>
      <c r="C1236" t="str">
        <f t="shared" si="83"/>
        <v>2호</v>
      </c>
      <c r="D1236" t="str">
        <f t="shared" si="82"/>
        <v>7</v>
      </c>
      <c r="E1236" t="str">
        <f t="shared" si="84"/>
        <v>2232호7</v>
      </c>
    </row>
    <row r="1237" spans="1:5" ht="16.5" customHeight="1" x14ac:dyDescent="0.4">
      <c r="A1237">
        <v>223</v>
      </c>
      <c r="B1237" s="11">
        <v>703</v>
      </c>
      <c r="C1237" t="str">
        <f t="shared" si="83"/>
        <v>3호</v>
      </c>
      <c r="D1237" t="str">
        <f t="shared" si="82"/>
        <v>7</v>
      </c>
      <c r="E1237" t="str">
        <f t="shared" si="84"/>
        <v>2233호7</v>
      </c>
    </row>
    <row r="1238" spans="1:5" ht="16.5" customHeight="1" x14ac:dyDescent="0.4">
      <c r="A1238">
        <v>223</v>
      </c>
      <c r="B1238" s="11">
        <v>704</v>
      </c>
      <c r="C1238" t="str">
        <f t="shared" si="83"/>
        <v>4호</v>
      </c>
      <c r="D1238" t="str">
        <f t="shared" si="82"/>
        <v>7</v>
      </c>
      <c r="E1238" t="str">
        <f t="shared" si="84"/>
        <v>2234호7</v>
      </c>
    </row>
    <row r="1239" spans="1:5" ht="16.5" customHeight="1" x14ac:dyDescent="0.4">
      <c r="A1239">
        <v>223</v>
      </c>
      <c r="B1239" s="24">
        <v>705</v>
      </c>
      <c r="C1239" t="str">
        <f t="shared" si="83"/>
        <v>5호</v>
      </c>
      <c r="D1239" t="str">
        <f t="shared" si="82"/>
        <v>7</v>
      </c>
      <c r="E1239" t="str">
        <f t="shared" si="84"/>
        <v>2235호7</v>
      </c>
    </row>
    <row r="1240" spans="1:5" ht="16.5" customHeight="1" x14ac:dyDescent="0.4">
      <c r="A1240">
        <v>223</v>
      </c>
      <c r="B1240" s="11">
        <v>801</v>
      </c>
      <c r="C1240" t="str">
        <f t="shared" si="83"/>
        <v>1호</v>
      </c>
      <c r="D1240" t="str">
        <f t="shared" si="82"/>
        <v>8</v>
      </c>
      <c r="E1240" t="str">
        <f t="shared" si="84"/>
        <v>2231호8</v>
      </c>
    </row>
    <row r="1241" spans="1:5" ht="16.5" customHeight="1" x14ac:dyDescent="0.4">
      <c r="A1241">
        <v>223</v>
      </c>
      <c r="B1241" s="11">
        <v>802</v>
      </c>
      <c r="C1241" t="str">
        <f t="shared" si="83"/>
        <v>2호</v>
      </c>
      <c r="D1241" t="str">
        <f t="shared" si="82"/>
        <v>8</v>
      </c>
      <c r="E1241" t="str">
        <f t="shared" si="84"/>
        <v>2232호8</v>
      </c>
    </row>
    <row r="1242" spans="1:5" ht="16.5" customHeight="1" x14ac:dyDescent="0.4">
      <c r="A1242">
        <v>223</v>
      </c>
      <c r="B1242" s="11">
        <v>803</v>
      </c>
      <c r="C1242" t="str">
        <f t="shared" si="83"/>
        <v>3호</v>
      </c>
      <c r="D1242" t="str">
        <f t="shared" si="82"/>
        <v>8</v>
      </c>
      <c r="E1242" t="str">
        <f t="shared" si="84"/>
        <v>2233호8</v>
      </c>
    </row>
    <row r="1243" spans="1:5" ht="16.5" customHeight="1" x14ac:dyDescent="0.4">
      <c r="A1243">
        <v>223</v>
      </c>
      <c r="B1243" s="11">
        <v>804</v>
      </c>
      <c r="C1243" t="str">
        <f t="shared" si="83"/>
        <v>4호</v>
      </c>
      <c r="D1243" t="str">
        <f t="shared" si="82"/>
        <v>8</v>
      </c>
      <c r="E1243" t="str">
        <f t="shared" si="84"/>
        <v>2234호8</v>
      </c>
    </row>
    <row r="1244" spans="1:5" ht="16.5" customHeight="1" x14ac:dyDescent="0.4">
      <c r="A1244">
        <v>223</v>
      </c>
      <c r="B1244" s="11">
        <v>805</v>
      </c>
      <c r="C1244" t="str">
        <f t="shared" si="83"/>
        <v>5호</v>
      </c>
      <c r="D1244" t="str">
        <f t="shared" si="82"/>
        <v>8</v>
      </c>
      <c r="E1244" t="str">
        <f t="shared" si="84"/>
        <v>2235호8</v>
      </c>
    </row>
    <row r="1245" spans="1:5" ht="16.5" customHeight="1" x14ac:dyDescent="0.4">
      <c r="A1245">
        <v>223</v>
      </c>
      <c r="B1245" s="11">
        <v>901</v>
      </c>
      <c r="C1245" t="str">
        <f t="shared" si="83"/>
        <v>1호</v>
      </c>
      <c r="D1245" t="str">
        <f t="shared" si="82"/>
        <v>9</v>
      </c>
      <c r="E1245" t="str">
        <f t="shared" si="84"/>
        <v>2231호9</v>
      </c>
    </row>
    <row r="1246" spans="1:5" ht="16.5" customHeight="1" x14ac:dyDescent="0.4">
      <c r="A1246">
        <v>223</v>
      </c>
      <c r="B1246" s="11">
        <v>902</v>
      </c>
      <c r="C1246" t="str">
        <f t="shared" si="83"/>
        <v>2호</v>
      </c>
      <c r="D1246" t="str">
        <f t="shared" si="82"/>
        <v>9</v>
      </c>
      <c r="E1246" t="str">
        <f t="shared" si="84"/>
        <v>2232호9</v>
      </c>
    </row>
    <row r="1247" spans="1:5" ht="16.5" customHeight="1" x14ac:dyDescent="0.4">
      <c r="A1247">
        <v>223</v>
      </c>
      <c r="B1247" s="11">
        <v>903</v>
      </c>
      <c r="C1247" t="str">
        <f t="shared" si="83"/>
        <v>3호</v>
      </c>
      <c r="D1247" t="str">
        <f t="shared" si="82"/>
        <v>9</v>
      </c>
      <c r="E1247" t="str">
        <f t="shared" si="84"/>
        <v>2233호9</v>
      </c>
    </row>
    <row r="1248" spans="1:5" ht="16.5" customHeight="1" x14ac:dyDescent="0.4">
      <c r="A1248">
        <v>223</v>
      </c>
      <c r="B1248" s="11">
        <v>904</v>
      </c>
      <c r="C1248" t="str">
        <f t="shared" si="83"/>
        <v>4호</v>
      </c>
      <c r="D1248" t="str">
        <f t="shared" si="82"/>
        <v>9</v>
      </c>
      <c r="E1248" t="str">
        <f t="shared" si="84"/>
        <v>2234호9</v>
      </c>
    </row>
    <row r="1249" spans="1:5" ht="16.5" customHeight="1" x14ac:dyDescent="0.4">
      <c r="A1249">
        <v>223</v>
      </c>
      <c r="B1249" s="11">
        <v>905</v>
      </c>
      <c r="C1249" t="str">
        <f t="shared" si="83"/>
        <v>5호</v>
      </c>
      <c r="D1249" t="str">
        <f t="shared" si="82"/>
        <v>9</v>
      </c>
      <c r="E1249" t="str">
        <f t="shared" si="84"/>
        <v>2235호9</v>
      </c>
    </row>
    <row r="1250" spans="1:5" ht="16.5" customHeight="1" x14ac:dyDescent="0.4">
      <c r="A1250">
        <v>223</v>
      </c>
      <c r="B1250" s="11">
        <v>1001</v>
      </c>
      <c r="C1250" t="str">
        <f t="shared" si="83"/>
        <v>1호</v>
      </c>
      <c r="D1250" t="str">
        <f t="shared" ref="D1250:D1268" si="85">LEFT(B1250,2)</f>
        <v>10</v>
      </c>
      <c r="E1250" t="str">
        <f t="shared" si="84"/>
        <v>2231호10</v>
      </c>
    </row>
    <row r="1251" spans="1:5" ht="16.5" customHeight="1" x14ac:dyDescent="0.4">
      <c r="A1251">
        <v>223</v>
      </c>
      <c r="B1251" s="11">
        <v>1002</v>
      </c>
      <c r="C1251" t="str">
        <f t="shared" si="83"/>
        <v>2호</v>
      </c>
      <c r="D1251" t="str">
        <f t="shared" si="85"/>
        <v>10</v>
      </c>
      <c r="E1251" t="str">
        <f t="shared" si="84"/>
        <v>2232호10</v>
      </c>
    </row>
    <row r="1252" spans="1:5" ht="16.5" customHeight="1" x14ac:dyDescent="0.4">
      <c r="A1252">
        <v>223</v>
      </c>
      <c r="B1252" s="11">
        <v>1003</v>
      </c>
      <c r="C1252" t="str">
        <f t="shared" si="83"/>
        <v>3호</v>
      </c>
      <c r="D1252" t="str">
        <f t="shared" si="85"/>
        <v>10</v>
      </c>
      <c r="E1252" t="str">
        <f t="shared" si="84"/>
        <v>2233호10</v>
      </c>
    </row>
    <row r="1253" spans="1:5" ht="16.5" customHeight="1" x14ac:dyDescent="0.4">
      <c r="A1253">
        <v>223</v>
      </c>
      <c r="B1253" s="24">
        <v>1004</v>
      </c>
      <c r="C1253" t="str">
        <f t="shared" si="83"/>
        <v>4호</v>
      </c>
      <c r="D1253" t="str">
        <f t="shared" si="85"/>
        <v>10</v>
      </c>
      <c r="E1253" t="str">
        <f t="shared" si="84"/>
        <v>2234호10</v>
      </c>
    </row>
    <row r="1254" spans="1:5" ht="16.5" customHeight="1" x14ac:dyDescent="0.4">
      <c r="A1254">
        <v>223</v>
      </c>
      <c r="B1254" s="11">
        <v>1005</v>
      </c>
      <c r="C1254" t="str">
        <f t="shared" si="83"/>
        <v>5호</v>
      </c>
      <c r="D1254" t="str">
        <f t="shared" si="85"/>
        <v>10</v>
      </c>
      <c r="E1254" t="str">
        <f t="shared" si="84"/>
        <v>2235호10</v>
      </c>
    </row>
    <row r="1255" spans="1:5" ht="16.5" customHeight="1" x14ac:dyDescent="0.4">
      <c r="A1255">
        <v>223</v>
      </c>
      <c r="B1255" s="11">
        <v>1101</v>
      </c>
      <c r="C1255" t="str">
        <f t="shared" si="83"/>
        <v>1호</v>
      </c>
      <c r="D1255" t="str">
        <f t="shared" si="85"/>
        <v>11</v>
      </c>
      <c r="E1255" t="str">
        <f t="shared" si="84"/>
        <v>2231호11</v>
      </c>
    </row>
    <row r="1256" spans="1:5" ht="16.5" customHeight="1" x14ac:dyDescent="0.4">
      <c r="A1256">
        <v>223</v>
      </c>
      <c r="B1256" s="11">
        <v>1102</v>
      </c>
      <c r="C1256" t="str">
        <f t="shared" si="83"/>
        <v>2호</v>
      </c>
      <c r="D1256" t="str">
        <f t="shared" si="85"/>
        <v>11</v>
      </c>
      <c r="E1256" t="str">
        <f t="shared" si="84"/>
        <v>2232호11</v>
      </c>
    </row>
    <row r="1257" spans="1:5" ht="16.5" customHeight="1" x14ac:dyDescent="0.4">
      <c r="A1257">
        <v>223</v>
      </c>
      <c r="B1257" s="11">
        <v>1103</v>
      </c>
      <c r="C1257" t="str">
        <f t="shared" si="83"/>
        <v>3호</v>
      </c>
      <c r="D1257" t="str">
        <f t="shared" si="85"/>
        <v>11</v>
      </c>
      <c r="E1257" t="str">
        <f t="shared" si="84"/>
        <v>2233호11</v>
      </c>
    </row>
    <row r="1258" spans="1:5" ht="16.5" customHeight="1" x14ac:dyDescent="0.4">
      <c r="A1258">
        <v>223</v>
      </c>
      <c r="B1258" s="11">
        <v>1104</v>
      </c>
      <c r="C1258" t="str">
        <f t="shared" si="83"/>
        <v>4호</v>
      </c>
      <c r="D1258" t="str">
        <f t="shared" si="85"/>
        <v>11</v>
      </c>
      <c r="E1258" t="str">
        <f t="shared" si="84"/>
        <v>2234호11</v>
      </c>
    </row>
    <row r="1259" spans="1:5" ht="16.5" customHeight="1" x14ac:dyDescent="0.4">
      <c r="A1259">
        <v>223</v>
      </c>
      <c r="B1259" s="11">
        <v>1105</v>
      </c>
      <c r="C1259" t="str">
        <f t="shared" si="83"/>
        <v>5호</v>
      </c>
      <c r="D1259" t="str">
        <f t="shared" si="85"/>
        <v>11</v>
      </c>
      <c r="E1259" t="str">
        <f t="shared" si="84"/>
        <v>2235호11</v>
      </c>
    </row>
    <row r="1260" spans="1:5" ht="16.5" customHeight="1" x14ac:dyDescent="0.4">
      <c r="A1260">
        <v>223</v>
      </c>
      <c r="B1260" s="11">
        <v>1203</v>
      </c>
      <c r="C1260" t="str">
        <f t="shared" si="83"/>
        <v>3호</v>
      </c>
      <c r="D1260" t="str">
        <f t="shared" si="85"/>
        <v>12</v>
      </c>
      <c r="E1260" t="str">
        <f t="shared" si="84"/>
        <v>2233호12</v>
      </c>
    </row>
    <row r="1261" spans="1:5" ht="16.5" customHeight="1" x14ac:dyDescent="0.4">
      <c r="A1261">
        <v>223</v>
      </c>
      <c r="B1261" s="11">
        <v>1204</v>
      </c>
      <c r="C1261" t="str">
        <f t="shared" si="83"/>
        <v>4호</v>
      </c>
      <c r="D1261" t="str">
        <f t="shared" si="85"/>
        <v>12</v>
      </c>
      <c r="E1261" t="str">
        <f t="shared" si="84"/>
        <v>2234호12</v>
      </c>
    </row>
    <row r="1262" spans="1:5" ht="16.5" customHeight="1" x14ac:dyDescent="0.4">
      <c r="A1262">
        <v>223</v>
      </c>
      <c r="B1262" s="11">
        <v>1205</v>
      </c>
      <c r="C1262" t="str">
        <f t="shared" si="83"/>
        <v>5호</v>
      </c>
      <c r="D1262" t="str">
        <f t="shared" si="85"/>
        <v>12</v>
      </c>
      <c r="E1262" t="str">
        <f t="shared" si="84"/>
        <v>2235호12</v>
      </c>
    </row>
    <row r="1263" spans="1:5" ht="16.5" customHeight="1" x14ac:dyDescent="0.4">
      <c r="A1263">
        <v>223</v>
      </c>
      <c r="B1263" s="11">
        <v>1303</v>
      </c>
      <c r="C1263" t="str">
        <f t="shared" si="83"/>
        <v>3호</v>
      </c>
      <c r="D1263" t="str">
        <f t="shared" si="85"/>
        <v>13</v>
      </c>
      <c r="E1263" t="str">
        <f t="shared" si="84"/>
        <v>2233호13</v>
      </c>
    </row>
    <row r="1264" spans="1:5" ht="16.5" customHeight="1" x14ac:dyDescent="0.4">
      <c r="A1264">
        <v>223</v>
      </c>
      <c r="B1264" s="11">
        <v>1304</v>
      </c>
      <c r="C1264" t="str">
        <f t="shared" si="83"/>
        <v>4호</v>
      </c>
      <c r="D1264" t="str">
        <f t="shared" si="85"/>
        <v>13</v>
      </c>
      <c r="E1264" t="str">
        <f t="shared" si="84"/>
        <v>2234호13</v>
      </c>
    </row>
    <row r="1265" spans="1:5" ht="16.5" customHeight="1" x14ac:dyDescent="0.4">
      <c r="A1265">
        <v>223</v>
      </c>
      <c r="B1265" s="11">
        <v>1305</v>
      </c>
      <c r="C1265" t="str">
        <f t="shared" si="83"/>
        <v>5호</v>
      </c>
      <c r="D1265" t="str">
        <f t="shared" si="85"/>
        <v>13</v>
      </c>
      <c r="E1265" t="str">
        <f t="shared" si="84"/>
        <v>2235호13</v>
      </c>
    </row>
    <row r="1266" spans="1:5" ht="16.5" customHeight="1" x14ac:dyDescent="0.4">
      <c r="A1266">
        <v>223</v>
      </c>
      <c r="B1266" s="11">
        <v>1403</v>
      </c>
      <c r="C1266" t="str">
        <f t="shared" si="83"/>
        <v>3호</v>
      </c>
      <c r="D1266" t="str">
        <f t="shared" si="85"/>
        <v>14</v>
      </c>
      <c r="E1266" t="str">
        <f t="shared" si="84"/>
        <v>2233호14</v>
      </c>
    </row>
    <row r="1267" spans="1:5" ht="16.5" customHeight="1" x14ac:dyDescent="0.4">
      <c r="A1267">
        <v>223</v>
      </c>
      <c r="B1267" s="24">
        <v>1404</v>
      </c>
      <c r="C1267" t="str">
        <f t="shared" si="83"/>
        <v>4호</v>
      </c>
      <c r="D1267" t="str">
        <f t="shared" si="85"/>
        <v>14</v>
      </c>
      <c r="E1267" t="str">
        <f t="shared" si="84"/>
        <v>2234호14</v>
      </c>
    </row>
    <row r="1268" spans="1:5" ht="16.5" customHeight="1" x14ac:dyDescent="0.4">
      <c r="A1268">
        <v>223</v>
      </c>
      <c r="B1268" s="9">
        <v>1405</v>
      </c>
      <c r="C1268" t="str">
        <f t="shared" si="83"/>
        <v>5호</v>
      </c>
      <c r="D1268" t="str">
        <f t="shared" si="85"/>
        <v>14</v>
      </c>
      <c r="E1268" t="str">
        <f t="shared" si="84"/>
        <v>2235호14</v>
      </c>
    </row>
    <row r="1269" spans="1:5" ht="16.5" customHeight="1" x14ac:dyDescent="0.4">
      <c r="A1269">
        <v>224</v>
      </c>
      <c r="B1269" s="9">
        <v>101</v>
      </c>
      <c r="C1269" t="str">
        <f t="shared" si="83"/>
        <v>1호</v>
      </c>
      <c r="D1269" t="str">
        <f t="shared" ref="D1269:D1313" si="86">LEFT(B1269,1)</f>
        <v>1</v>
      </c>
      <c r="E1269" t="str">
        <f t="shared" si="84"/>
        <v>2241호1</v>
      </c>
    </row>
    <row r="1270" spans="1:5" ht="16.5" customHeight="1" x14ac:dyDescent="0.4">
      <c r="A1270">
        <v>224</v>
      </c>
      <c r="B1270" s="9">
        <v>102</v>
      </c>
      <c r="C1270" t="str">
        <f t="shared" si="83"/>
        <v>2호</v>
      </c>
      <c r="D1270" t="str">
        <f t="shared" si="86"/>
        <v>1</v>
      </c>
      <c r="E1270" t="str">
        <f t="shared" si="84"/>
        <v>2242호1</v>
      </c>
    </row>
    <row r="1271" spans="1:5" ht="16.5" customHeight="1" x14ac:dyDescent="0.4">
      <c r="A1271">
        <v>224</v>
      </c>
      <c r="B1271" s="9">
        <v>103</v>
      </c>
      <c r="C1271" t="str">
        <f t="shared" si="83"/>
        <v>3호</v>
      </c>
      <c r="D1271" t="str">
        <f t="shared" si="86"/>
        <v>1</v>
      </c>
      <c r="E1271" t="str">
        <f t="shared" si="84"/>
        <v>2243호1</v>
      </c>
    </row>
    <row r="1272" spans="1:5" ht="16.5" customHeight="1" x14ac:dyDescent="0.4">
      <c r="A1272">
        <v>224</v>
      </c>
      <c r="B1272" s="9">
        <v>104</v>
      </c>
      <c r="C1272" t="str">
        <f t="shared" si="83"/>
        <v>4호</v>
      </c>
      <c r="D1272" t="str">
        <f t="shared" si="86"/>
        <v>1</v>
      </c>
      <c r="E1272" t="str">
        <f t="shared" si="84"/>
        <v>2244호1</v>
      </c>
    </row>
    <row r="1273" spans="1:5" ht="16.5" customHeight="1" x14ac:dyDescent="0.4">
      <c r="A1273">
        <v>224</v>
      </c>
      <c r="B1273" s="9">
        <v>105</v>
      </c>
      <c r="C1273" t="str">
        <f t="shared" si="83"/>
        <v>5호</v>
      </c>
      <c r="D1273" t="str">
        <f t="shared" si="86"/>
        <v>1</v>
      </c>
      <c r="E1273" t="str">
        <f t="shared" si="84"/>
        <v>2245호1</v>
      </c>
    </row>
    <row r="1274" spans="1:5" ht="16.5" customHeight="1" x14ac:dyDescent="0.4">
      <c r="A1274">
        <v>224</v>
      </c>
      <c r="B1274" s="9">
        <v>201</v>
      </c>
      <c r="C1274" t="str">
        <f t="shared" si="83"/>
        <v>1호</v>
      </c>
      <c r="D1274" t="str">
        <f t="shared" si="86"/>
        <v>2</v>
      </c>
      <c r="E1274" t="str">
        <f t="shared" si="84"/>
        <v>2241호2</v>
      </c>
    </row>
    <row r="1275" spans="1:5" ht="16.5" customHeight="1" x14ac:dyDescent="0.4">
      <c r="A1275">
        <v>224</v>
      </c>
      <c r="B1275" s="9">
        <v>202</v>
      </c>
      <c r="C1275" t="str">
        <f t="shared" si="83"/>
        <v>2호</v>
      </c>
      <c r="D1275" t="str">
        <f t="shared" si="86"/>
        <v>2</v>
      </c>
      <c r="E1275" t="str">
        <f t="shared" si="84"/>
        <v>2242호2</v>
      </c>
    </row>
    <row r="1276" spans="1:5" ht="16.5" customHeight="1" x14ac:dyDescent="0.4">
      <c r="A1276">
        <v>224</v>
      </c>
      <c r="B1276" s="9">
        <v>203</v>
      </c>
      <c r="C1276" t="str">
        <f t="shared" si="83"/>
        <v>3호</v>
      </c>
      <c r="D1276" t="str">
        <f t="shared" si="86"/>
        <v>2</v>
      </c>
      <c r="E1276" t="str">
        <f t="shared" si="84"/>
        <v>2243호2</v>
      </c>
    </row>
    <row r="1277" spans="1:5" ht="16.5" customHeight="1" x14ac:dyDescent="0.4">
      <c r="A1277">
        <v>224</v>
      </c>
      <c r="B1277" s="9">
        <v>204</v>
      </c>
      <c r="C1277" t="str">
        <f t="shared" si="83"/>
        <v>4호</v>
      </c>
      <c r="D1277" t="str">
        <f t="shared" si="86"/>
        <v>2</v>
      </c>
      <c r="E1277" t="str">
        <f t="shared" si="84"/>
        <v>2244호2</v>
      </c>
    </row>
    <row r="1278" spans="1:5" ht="16.5" customHeight="1" x14ac:dyDescent="0.4">
      <c r="A1278">
        <v>224</v>
      </c>
      <c r="B1278" s="22">
        <v>205</v>
      </c>
      <c r="C1278" t="str">
        <f t="shared" si="83"/>
        <v>5호</v>
      </c>
      <c r="D1278" t="str">
        <f t="shared" si="86"/>
        <v>2</v>
      </c>
      <c r="E1278" t="str">
        <f t="shared" si="84"/>
        <v>2245호2</v>
      </c>
    </row>
    <row r="1279" spans="1:5" ht="16.5" customHeight="1" x14ac:dyDescent="0.4">
      <c r="A1279">
        <v>224</v>
      </c>
      <c r="B1279" s="11">
        <v>301</v>
      </c>
      <c r="C1279" t="str">
        <f t="shared" si="83"/>
        <v>1호</v>
      </c>
      <c r="D1279" t="str">
        <f t="shared" si="86"/>
        <v>3</v>
      </c>
      <c r="E1279" t="str">
        <f t="shared" si="84"/>
        <v>2241호3</v>
      </c>
    </row>
    <row r="1280" spans="1:5" ht="16.5" customHeight="1" x14ac:dyDescent="0.4">
      <c r="A1280">
        <v>224</v>
      </c>
      <c r="B1280" s="11">
        <v>302</v>
      </c>
      <c r="C1280" t="str">
        <f t="shared" si="83"/>
        <v>2호</v>
      </c>
      <c r="D1280" t="str">
        <f t="shared" si="86"/>
        <v>3</v>
      </c>
      <c r="E1280" t="str">
        <f t="shared" si="84"/>
        <v>2242호3</v>
      </c>
    </row>
    <row r="1281" spans="1:5" ht="16.5" customHeight="1" x14ac:dyDescent="0.4">
      <c r="A1281">
        <v>224</v>
      </c>
      <c r="B1281" s="11">
        <v>303</v>
      </c>
      <c r="C1281" t="str">
        <f t="shared" si="83"/>
        <v>3호</v>
      </c>
      <c r="D1281" t="str">
        <f t="shared" si="86"/>
        <v>3</v>
      </c>
      <c r="E1281" t="str">
        <f t="shared" si="84"/>
        <v>2243호3</v>
      </c>
    </row>
    <row r="1282" spans="1:5" ht="16.5" customHeight="1" x14ac:dyDescent="0.4">
      <c r="A1282">
        <v>224</v>
      </c>
      <c r="B1282" s="11">
        <v>304</v>
      </c>
      <c r="C1282" t="str">
        <f t="shared" si="83"/>
        <v>4호</v>
      </c>
      <c r="D1282" t="str">
        <f t="shared" si="86"/>
        <v>3</v>
      </c>
      <c r="E1282" t="str">
        <f t="shared" si="84"/>
        <v>2244호3</v>
      </c>
    </row>
    <row r="1283" spans="1:5" ht="16.5" customHeight="1" x14ac:dyDescent="0.4">
      <c r="A1283">
        <v>224</v>
      </c>
      <c r="B1283" s="11">
        <v>305</v>
      </c>
      <c r="C1283" t="str">
        <f t="shared" si="83"/>
        <v>5호</v>
      </c>
      <c r="D1283" t="str">
        <f t="shared" si="86"/>
        <v>3</v>
      </c>
      <c r="E1283" t="str">
        <f t="shared" si="84"/>
        <v>2245호3</v>
      </c>
    </row>
    <row r="1284" spans="1:5" ht="16.5" customHeight="1" x14ac:dyDescent="0.4">
      <c r="A1284">
        <v>224</v>
      </c>
      <c r="B1284" s="11">
        <v>401</v>
      </c>
      <c r="C1284" t="str">
        <f t="shared" ref="C1284:C1347" si="87">RIGHT(B1284,1)&amp;"호"</f>
        <v>1호</v>
      </c>
      <c r="D1284" t="str">
        <f t="shared" si="86"/>
        <v>4</v>
      </c>
      <c r="E1284" t="str">
        <f t="shared" ref="E1284:E1347" si="88">A1284&amp;C1284&amp;D1284</f>
        <v>2241호4</v>
      </c>
    </row>
    <row r="1285" spans="1:5" ht="16.5" customHeight="1" x14ac:dyDescent="0.4">
      <c r="A1285">
        <v>224</v>
      </c>
      <c r="B1285" s="11">
        <v>402</v>
      </c>
      <c r="C1285" t="str">
        <f t="shared" si="87"/>
        <v>2호</v>
      </c>
      <c r="D1285" t="str">
        <f t="shared" si="86"/>
        <v>4</v>
      </c>
      <c r="E1285" t="str">
        <f t="shared" si="88"/>
        <v>2242호4</v>
      </c>
    </row>
    <row r="1286" spans="1:5" ht="16.5" customHeight="1" x14ac:dyDescent="0.4">
      <c r="A1286">
        <v>224</v>
      </c>
      <c r="B1286" s="11">
        <v>403</v>
      </c>
      <c r="C1286" t="str">
        <f t="shared" si="87"/>
        <v>3호</v>
      </c>
      <c r="D1286" t="str">
        <f t="shared" si="86"/>
        <v>4</v>
      </c>
      <c r="E1286" t="str">
        <f t="shared" si="88"/>
        <v>2243호4</v>
      </c>
    </row>
    <row r="1287" spans="1:5" ht="16.5" customHeight="1" x14ac:dyDescent="0.4">
      <c r="A1287">
        <v>224</v>
      </c>
      <c r="B1287" s="11">
        <v>404</v>
      </c>
      <c r="C1287" t="str">
        <f t="shared" si="87"/>
        <v>4호</v>
      </c>
      <c r="D1287" t="str">
        <f t="shared" si="86"/>
        <v>4</v>
      </c>
      <c r="E1287" t="str">
        <f t="shared" si="88"/>
        <v>2244호4</v>
      </c>
    </row>
    <row r="1288" spans="1:5" ht="16.5" customHeight="1" x14ac:dyDescent="0.4">
      <c r="A1288">
        <v>224</v>
      </c>
      <c r="B1288" s="11">
        <v>405</v>
      </c>
      <c r="C1288" t="str">
        <f t="shared" si="87"/>
        <v>5호</v>
      </c>
      <c r="D1288" t="str">
        <f t="shared" si="86"/>
        <v>4</v>
      </c>
      <c r="E1288" t="str">
        <f t="shared" si="88"/>
        <v>2245호4</v>
      </c>
    </row>
    <row r="1289" spans="1:5" ht="16.5" customHeight="1" x14ac:dyDescent="0.4">
      <c r="A1289">
        <v>224</v>
      </c>
      <c r="B1289" s="24">
        <v>501</v>
      </c>
      <c r="C1289" t="str">
        <f t="shared" si="87"/>
        <v>1호</v>
      </c>
      <c r="D1289" t="str">
        <f t="shared" si="86"/>
        <v>5</v>
      </c>
      <c r="E1289" t="str">
        <f t="shared" si="88"/>
        <v>2241호5</v>
      </c>
    </row>
    <row r="1290" spans="1:5" ht="16.5" customHeight="1" x14ac:dyDescent="0.4">
      <c r="A1290">
        <v>224</v>
      </c>
      <c r="B1290" s="11">
        <v>502</v>
      </c>
      <c r="C1290" t="str">
        <f t="shared" si="87"/>
        <v>2호</v>
      </c>
      <c r="D1290" t="str">
        <f t="shared" si="86"/>
        <v>5</v>
      </c>
      <c r="E1290" t="str">
        <f t="shared" si="88"/>
        <v>2242호5</v>
      </c>
    </row>
    <row r="1291" spans="1:5" ht="16.5" customHeight="1" x14ac:dyDescent="0.4">
      <c r="A1291">
        <v>224</v>
      </c>
      <c r="B1291" s="11">
        <v>503</v>
      </c>
      <c r="C1291" t="str">
        <f t="shared" si="87"/>
        <v>3호</v>
      </c>
      <c r="D1291" t="str">
        <f t="shared" si="86"/>
        <v>5</v>
      </c>
      <c r="E1291" t="str">
        <f t="shared" si="88"/>
        <v>2243호5</v>
      </c>
    </row>
    <row r="1292" spans="1:5" ht="16.5" customHeight="1" x14ac:dyDescent="0.4">
      <c r="A1292">
        <v>224</v>
      </c>
      <c r="B1292" s="11">
        <v>504</v>
      </c>
      <c r="C1292" t="str">
        <f t="shared" si="87"/>
        <v>4호</v>
      </c>
      <c r="D1292" t="str">
        <f t="shared" si="86"/>
        <v>5</v>
      </c>
      <c r="E1292" t="str">
        <f t="shared" si="88"/>
        <v>2244호5</v>
      </c>
    </row>
    <row r="1293" spans="1:5" ht="16.5" customHeight="1" x14ac:dyDescent="0.4">
      <c r="A1293">
        <v>224</v>
      </c>
      <c r="B1293" s="11">
        <v>505</v>
      </c>
      <c r="C1293" t="str">
        <f t="shared" si="87"/>
        <v>5호</v>
      </c>
      <c r="D1293" t="str">
        <f t="shared" si="86"/>
        <v>5</v>
      </c>
      <c r="E1293" t="str">
        <f t="shared" si="88"/>
        <v>2245호5</v>
      </c>
    </row>
    <row r="1294" spans="1:5" ht="16.5" customHeight="1" x14ac:dyDescent="0.4">
      <c r="A1294">
        <v>224</v>
      </c>
      <c r="B1294" s="11">
        <v>601</v>
      </c>
      <c r="C1294" t="str">
        <f t="shared" si="87"/>
        <v>1호</v>
      </c>
      <c r="D1294" t="str">
        <f t="shared" si="86"/>
        <v>6</v>
      </c>
      <c r="E1294" t="str">
        <f t="shared" si="88"/>
        <v>2241호6</v>
      </c>
    </row>
    <row r="1295" spans="1:5" ht="16.5" customHeight="1" x14ac:dyDescent="0.4">
      <c r="A1295">
        <v>224</v>
      </c>
      <c r="B1295" s="11">
        <v>602</v>
      </c>
      <c r="C1295" t="str">
        <f t="shared" si="87"/>
        <v>2호</v>
      </c>
      <c r="D1295" t="str">
        <f t="shared" si="86"/>
        <v>6</v>
      </c>
      <c r="E1295" t="str">
        <f t="shared" si="88"/>
        <v>2242호6</v>
      </c>
    </row>
    <row r="1296" spans="1:5" ht="16.5" customHeight="1" x14ac:dyDescent="0.4">
      <c r="A1296">
        <v>224</v>
      </c>
      <c r="B1296" s="11">
        <v>603</v>
      </c>
      <c r="C1296" t="str">
        <f t="shared" si="87"/>
        <v>3호</v>
      </c>
      <c r="D1296" t="str">
        <f t="shared" si="86"/>
        <v>6</v>
      </c>
      <c r="E1296" t="str">
        <f t="shared" si="88"/>
        <v>2243호6</v>
      </c>
    </row>
    <row r="1297" spans="1:5" ht="16.5" customHeight="1" x14ac:dyDescent="0.4">
      <c r="A1297">
        <v>224</v>
      </c>
      <c r="B1297" s="11">
        <v>604</v>
      </c>
      <c r="C1297" t="str">
        <f t="shared" si="87"/>
        <v>4호</v>
      </c>
      <c r="D1297" t="str">
        <f t="shared" si="86"/>
        <v>6</v>
      </c>
      <c r="E1297" t="str">
        <f t="shared" si="88"/>
        <v>2244호6</v>
      </c>
    </row>
    <row r="1298" spans="1:5" ht="16.5" customHeight="1" x14ac:dyDescent="0.4">
      <c r="A1298">
        <v>224</v>
      </c>
      <c r="B1298" s="11">
        <v>605</v>
      </c>
      <c r="C1298" t="str">
        <f t="shared" si="87"/>
        <v>5호</v>
      </c>
      <c r="D1298" t="str">
        <f t="shared" si="86"/>
        <v>6</v>
      </c>
      <c r="E1298" t="str">
        <f t="shared" si="88"/>
        <v>2245호6</v>
      </c>
    </row>
    <row r="1299" spans="1:5" ht="16.5" customHeight="1" x14ac:dyDescent="0.4">
      <c r="A1299">
        <v>224</v>
      </c>
      <c r="B1299" s="11">
        <v>701</v>
      </c>
      <c r="C1299" t="str">
        <f t="shared" si="87"/>
        <v>1호</v>
      </c>
      <c r="D1299" t="str">
        <f t="shared" si="86"/>
        <v>7</v>
      </c>
      <c r="E1299" t="str">
        <f t="shared" si="88"/>
        <v>2241호7</v>
      </c>
    </row>
    <row r="1300" spans="1:5" ht="16.5" customHeight="1" x14ac:dyDescent="0.4">
      <c r="A1300">
        <v>224</v>
      </c>
      <c r="B1300" s="11">
        <v>702</v>
      </c>
      <c r="C1300" t="str">
        <f t="shared" si="87"/>
        <v>2호</v>
      </c>
      <c r="D1300" t="str">
        <f t="shared" si="86"/>
        <v>7</v>
      </c>
      <c r="E1300" t="str">
        <f t="shared" si="88"/>
        <v>2242호7</v>
      </c>
    </row>
    <row r="1301" spans="1:5" ht="16.5" customHeight="1" x14ac:dyDescent="0.4">
      <c r="A1301">
        <v>224</v>
      </c>
      <c r="B1301" s="11">
        <v>703</v>
      </c>
      <c r="C1301" t="str">
        <f t="shared" si="87"/>
        <v>3호</v>
      </c>
      <c r="D1301" t="str">
        <f t="shared" si="86"/>
        <v>7</v>
      </c>
      <c r="E1301" t="str">
        <f t="shared" si="88"/>
        <v>2243호7</v>
      </c>
    </row>
    <row r="1302" spans="1:5" ht="16.5" customHeight="1" x14ac:dyDescent="0.4">
      <c r="A1302">
        <v>224</v>
      </c>
      <c r="B1302" s="11">
        <v>704</v>
      </c>
      <c r="C1302" t="str">
        <f t="shared" si="87"/>
        <v>4호</v>
      </c>
      <c r="D1302" t="str">
        <f t="shared" si="86"/>
        <v>7</v>
      </c>
      <c r="E1302" t="str">
        <f t="shared" si="88"/>
        <v>2244호7</v>
      </c>
    </row>
    <row r="1303" spans="1:5" ht="16.5" customHeight="1" x14ac:dyDescent="0.4">
      <c r="A1303">
        <v>224</v>
      </c>
      <c r="B1303" s="24">
        <v>705</v>
      </c>
      <c r="C1303" t="str">
        <f t="shared" si="87"/>
        <v>5호</v>
      </c>
      <c r="D1303" t="str">
        <f t="shared" si="86"/>
        <v>7</v>
      </c>
      <c r="E1303" t="str">
        <f t="shared" si="88"/>
        <v>2245호7</v>
      </c>
    </row>
    <row r="1304" spans="1:5" ht="16.5" customHeight="1" x14ac:dyDescent="0.4">
      <c r="A1304">
        <v>224</v>
      </c>
      <c r="B1304" s="11">
        <v>801</v>
      </c>
      <c r="C1304" t="str">
        <f t="shared" si="87"/>
        <v>1호</v>
      </c>
      <c r="D1304" t="str">
        <f t="shared" si="86"/>
        <v>8</v>
      </c>
      <c r="E1304" t="str">
        <f t="shared" si="88"/>
        <v>2241호8</v>
      </c>
    </row>
    <row r="1305" spans="1:5" ht="16.5" customHeight="1" x14ac:dyDescent="0.4">
      <c r="A1305">
        <v>224</v>
      </c>
      <c r="B1305" s="11">
        <v>802</v>
      </c>
      <c r="C1305" t="str">
        <f t="shared" si="87"/>
        <v>2호</v>
      </c>
      <c r="D1305" t="str">
        <f t="shared" si="86"/>
        <v>8</v>
      </c>
      <c r="E1305" t="str">
        <f t="shared" si="88"/>
        <v>2242호8</v>
      </c>
    </row>
    <row r="1306" spans="1:5" ht="16.5" customHeight="1" x14ac:dyDescent="0.4">
      <c r="A1306">
        <v>224</v>
      </c>
      <c r="B1306" s="11">
        <v>803</v>
      </c>
      <c r="C1306" t="str">
        <f t="shared" si="87"/>
        <v>3호</v>
      </c>
      <c r="D1306" t="str">
        <f t="shared" si="86"/>
        <v>8</v>
      </c>
      <c r="E1306" t="str">
        <f t="shared" si="88"/>
        <v>2243호8</v>
      </c>
    </row>
    <row r="1307" spans="1:5" ht="16.5" customHeight="1" x14ac:dyDescent="0.4">
      <c r="A1307">
        <v>224</v>
      </c>
      <c r="B1307" s="11">
        <v>804</v>
      </c>
      <c r="C1307" t="str">
        <f t="shared" si="87"/>
        <v>4호</v>
      </c>
      <c r="D1307" t="str">
        <f t="shared" si="86"/>
        <v>8</v>
      </c>
      <c r="E1307" t="str">
        <f t="shared" si="88"/>
        <v>2244호8</v>
      </c>
    </row>
    <row r="1308" spans="1:5" ht="16.5" customHeight="1" x14ac:dyDescent="0.4">
      <c r="A1308">
        <v>224</v>
      </c>
      <c r="B1308" s="11">
        <v>805</v>
      </c>
      <c r="C1308" t="str">
        <f t="shared" si="87"/>
        <v>5호</v>
      </c>
      <c r="D1308" t="str">
        <f t="shared" si="86"/>
        <v>8</v>
      </c>
      <c r="E1308" t="str">
        <f t="shared" si="88"/>
        <v>2245호8</v>
      </c>
    </row>
    <row r="1309" spans="1:5" ht="16.5" customHeight="1" x14ac:dyDescent="0.4">
      <c r="A1309">
        <v>224</v>
      </c>
      <c r="B1309" s="11">
        <v>901</v>
      </c>
      <c r="C1309" t="str">
        <f t="shared" si="87"/>
        <v>1호</v>
      </c>
      <c r="D1309" t="str">
        <f t="shared" si="86"/>
        <v>9</v>
      </c>
      <c r="E1309" t="str">
        <f t="shared" si="88"/>
        <v>2241호9</v>
      </c>
    </row>
    <row r="1310" spans="1:5" ht="16.5" customHeight="1" x14ac:dyDescent="0.4">
      <c r="A1310">
        <v>224</v>
      </c>
      <c r="B1310" s="11">
        <v>902</v>
      </c>
      <c r="C1310" t="str">
        <f t="shared" si="87"/>
        <v>2호</v>
      </c>
      <c r="D1310" t="str">
        <f t="shared" si="86"/>
        <v>9</v>
      </c>
      <c r="E1310" t="str">
        <f t="shared" si="88"/>
        <v>2242호9</v>
      </c>
    </row>
    <row r="1311" spans="1:5" ht="16.5" customHeight="1" x14ac:dyDescent="0.4">
      <c r="A1311">
        <v>224</v>
      </c>
      <c r="B1311" s="11">
        <v>903</v>
      </c>
      <c r="C1311" t="str">
        <f t="shared" si="87"/>
        <v>3호</v>
      </c>
      <c r="D1311" t="str">
        <f t="shared" si="86"/>
        <v>9</v>
      </c>
      <c r="E1311" t="str">
        <f t="shared" si="88"/>
        <v>2243호9</v>
      </c>
    </row>
    <row r="1312" spans="1:5" ht="16.5" customHeight="1" x14ac:dyDescent="0.4">
      <c r="A1312">
        <v>224</v>
      </c>
      <c r="B1312" s="11">
        <v>904</v>
      </c>
      <c r="C1312" t="str">
        <f t="shared" si="87"/>
        <v>4호</v>
      </c>
      <c r="D1312" t="str">
        <f t="shared" si="86"/>
        <v>9</v>
      </c>
      <c r="E1312" t="str">
        <f t="shared" si="88"/>
        <v>2244호9</v>
      </c>
    </row>
    <row r="1313" spans="1:5" ht="16.5" customHeight="1" x14ac:dyDescent="0.4">
      <c r="A1313">
        <v>224</v>
      </c>
      <c r="B1313" s="11">
        <v>905</v>
      </c>
      <c r="C1313" t="str">
        <f t="shared" si="87"/>
        <v>5호</v>
      </c>
      <c r="D1313" t="str">
        <f t="shared" si="86"/>
        <v>9</v>
      </c>
      <c r="E1313" t="str">
        <f t="shared" si="88"/>
        <v>2245호9</v>
      </c>
    </row>
    <row r="1314" spans="1:5" ht="16.5" customHeight="1" x14ac:dyDescent="0.4">
      <c r="A1314">
        <v>224</v>
      </c>
      <c r="B1314" s="11">
        <v>1001</v>
      </c>
      <c r="C1314" t="str">
        <f t="shared" si="87"/>
        <v>1호</v>
      </c>
      <c r="D1314" t="str">
        <f t="shared" ref="D1314:D1332" si="89">LEFT(B1314,2)</f>
        <v>10</v>
      </c>
      <c r="E1314" t="str">
        <f t="shared" si="88"/>
        <v>2241호10</v>
      </c>
    </row>
    <row r="1315" spans="1:5" ht="16.5" customHeight="1" x14ac:dyDescent="0.4">
      <c r="A1315">
        <v>224</v>
      </c>
      <c r="B1315" s="11">
        <v>1002</v>
      </c>
      <c r="C1315" t="str">
        <f t="shared" si="87"/>
        <v>2호</v>
      </c>
      <c r="D1315" t="str">
        <f t="shared" si="89"/>
        <v>10</v>
      </c>
      <c r="E1315" t="str">
        <f t="shared" si="88"/>
        <v>2242호10</v>
      </c>
    </row>
    <row r="1316" spans="1:5" ht="16.5" customHeight="1" x14ac:dyDescent="0.4">
      <c r="A1316">
        <v>224</v>
      </c>
      <c r="B1316" s="11">
        <v>1003</v>
      </c>
      <c r="C1316" t="str">
        <f t="shared" si="87"/>
        <v>3호</v>
      </c>
      <c r="D1316" t="str">
        <f t="shared" si="89"/>
        <v>10</v>
      </c>
      <c r="E1316" t="str">
        <f t="shared" si="88"/>
        <v>2243호10</v>
      </c>
    </row>
    <row r="1317" spans="1:5" ht="16.5" customHeight="1" x14ac:dyDescent="0.4">
      <c r="A1317">
        <v>224</v>
      </c>
      <c r="B1317" s="24">
        <v>1004</v>
      </c>
      <c r="C1317" t="str">
        <f t="shared" si="87"/>
        <v>4호</v>
      </c>
      <c r="D1317" t="str">
        <f t="shared" si="89"/>
        <v>10</v>
      </c>
      <c r="E1317" t="str">
        <f t="shared" si="88"/>
        <v>2244호10</v>
      </c>
    </row>
    <row r="1318" spans="1:5" ht="16.5" customHeight="1" x14ac:dyDescent="0.4">
      <c r="A1318">
        <v>224</v>
      </c>
      <c r="B1318" s="11">
        <v>1005</v>
      </c>
      <c r="C1318" t="str">
        <f t="shared" si="87"/>
        <v>5호</v>
      </c>
      <c r="D1318" t="str">
        <f t="shared" si="89"/>
        <v>10</v>
      </c>
      <c r="E1318" t="str">
        <f t="shared" si="88"/>
        <v>2245호10</v>
      </c>
    </row>
    <row r="1319" spans="1:5" ht="16.5" customHeight="1" x14ac:dyDescent="0.4">
      <c r="A1319">
        <v>224</v>
      </c>
      <c r="B1319" s="11">
        <v>1101</v>
      </c>
      <c r="C1319" t="str">
        <f t="shared" si="87"/>
        <v>1호</v>
      </c>
      <c r="D1319" t="str">
        <f t="shared" si="89"/>
        <v>11</v>
      </c>
      <c r="E1319" t="str">
        <f t="shared" si="88"/>
        <v>2241호11</v>
      </c>
    </row>
    <row r="1320" spans="1:5" ht="16.5" customHeight="1" x14ac:dyDescent="0.4">
      <c r="A1320">
        <v>224</v>
      </c>
      <c r="B1320" s="11">
        <v>1102</v>
      </c>
      <c r="C1320" t="str">
        <f t="shared" si="87"/>
        <v>2호</v>
      </c>
      <c r="D1320" t="str">
        <f t="shared" si="89"/>
        <v>11</v>
      </c>
      <c r="E1320" t="str">
        <f t="shared" si="88"/>
        <v>2242호11</v>
      </c>
    </row>
    <row r="1321" spans="1:5" ht="16.5" customHeight="1" x14ac:dyDescent="0.4">
      <c r="A1321">
        <v>224</v>
      </c>
      <c r="B1321" s="11">
        <v>1103</v>
      </c>
      <c r="C1321" t="str">
        <f t="shared" si="87"/>
        <v>3호</v>
      </c>
      <c r="D1321" t="str">
        <f t="shared" si="89"/>
        <v>11</v>
      </c>
      <c r="E1321" t="str">
        <f t="shared" si="88"/>
        <v>2243호11</v>
      </c>
    </row>
    <row r="1322" spans="1:5" ht="16.5" customHeight="1" x14ac:dyDescent="0.4">
      <c r="A1322">
        <v>224</v>
      </c>
      <c r="B1322" s="11">
        <v>1104</v>
      </c>
      <c r="C1322" t="str">
        <f t="shared" si="87"/>
        <v>4호</v>
      </c>
      <c r="D1322" t="str">
        <f t="shared" si="89"/>
        <v>11</v>
      </c>
      <c r="E1322" t="str">
        <f t="shared" si="88"/>
        <v>2244호11</v>
      </c>
    </row>
    <row r="1323" spans="1:5" ht="16.5" customHeight="1" x14ac:dyDescent="0.4">
      <c r="A1323">
        <v>224</v>
      </c>
      <c r="B1323" s="11">
        <v>1105</v>
      </c>
      <c r="C1323" t="str">
        <f t="shared" si="87"/>
        <v>5호</v>
      </c>
      <c r="D1323" t="str">
        <f t="shared" si="89"/>
        <v>11</v>
      </c>
      <c r="E1323" t="str">
        <f t="shared" si="88"/>
        <v>2245호11</v>
      </c>
    </row>
    <row r="1324" spans="1:5" ht="16.5" customHeight="1" x14ac:dyDescent="0.4">
      <c r="A1324">
        <v>224</v>
      </c>
      <c r="B1324" s="11">
        <v>1203</v>
      </c>
      <c r="C1324" t="str">
        <f t="shared" si="87"/>
        <v>3호</v>
      </c>
      <c r="D1324" t="str">
        <f t="shared" si="89"/>
        <v>12</v>
      </c>
      <c r="E1324" t="str">
        <f t="shared" si="88"/>
        <v>2243호12</v>
      </c>
    </row>
    <row r="1325" spans="1:5" ht="16.5" customHeight="1" x14ac:dyDescent="0.4">
      <c r="A1325">
        <v>224</v>
      </c>
      <c r="B1325" s="11">
        <v>1204</v>
      </c>
      <c r="C1325" t="str">
        <f t="shared" si="87"/>
        <v>4호</v>
      </c>
      <c r="D1325" t="str">
        <f t="shared" si="89"/>
        <v>12</v>
      </c>
      <c r="E1325" t="str">
        <f t="shared" si="88"/>
        <v>2244호12</v>
      </c>
    </row>
    <row r="1326" spans="1:5" ht="16.5" customHeight="1" x14ac:dyDescent="0.4">
      <c r="A1326">
        <v>224</v>
      </c>
      <c r="B1326" s="11">
        <v>1205</v>
      </c>
      <c r="C1326" t="str">
        <f t="shared" si="87"/>
        <v>5호</v>
      </c>
      <c r="D1326" t="str">
        <f t="shared" si="89"/>
        <v>12</v>
      </c>
      <c r="E1326" t="str">
        <f t="shared" si="88"/>
        <v>2245호12</v>
      </c>
    </row>
    <row r="1327" spans="1:5" ht="16.5" customHeight="1" x14ac:dyDescent="0.4">
      <c r="A1327">
        <v>224</v>
      </c>
      <c r="B1327" s="11">
        <v>1303</v>
      </c>
      <c r="C1327" t="str">
        <f t="shared" si="87"/>
        <v>3호</v>
      </c>
      <c r="D1327" t="str">
        <f t="shared" si="89"/>
        <v>13</v>
      </c>
      <c r="E1327" t="str">
        <f t="shared" si="88"/>
        <v>2243호13</v>
      </c>
    </row>
    <row r="1328" spans="1:5" ht="16.5" customHeight="1" x14ac:dyDescent="0.4">
      <c r="A1328">
        <v>224</v>
      </c>
      <c r="B1328" s="11">
        <v>1304</v>
      </c>
      <c r="C1328" t="str">
        <f t="shared" si="87"/>
        <v>4호</v>
      </c>
      <c r="D1328" t="str">
        <f t="shared" si="89"/>
        <v>13</v>
      </c>
      <c r="E1328" t="str">
        <f t="shared" si="88"/>
        <v>2244호13</v>
      </c>
    </row>
    <row r="1329" spans="1:5" ht="16.5" customHeight="1" x14ac:dyDescent="0.4">
      <c r="A1329">
        <v>224</v>
      </c>
      <c r="B1329" s="11">
        <v>1305</v>
      </c>
      <c r="C1329" t="str">
        <f t="shared" si="87"/>
        <v>5호</v>
      </c>
      <c r="D1329" t="str">
        <f t="shared" si="89"/>
        <v>13</v>
      </c>
      <c r="E1329" t="str">
        <f t="shared" si="88"/>
        <v>2245호13</v>
      </c>
    </row>
    <row r="1330" spans="1:5" ht="16.5" customHeight="1" x14ac:dyDescent="0.4">
      <c r="A1330">
        <v>224</v>
      </c>
      <c r="B1330" s="11">
        <v>1403</v>
      </c>
      <c r="C1330" t="str">
        <f t="shared" si="87"/>
        <v>3호</v>
      </c>
      <c r="D1330" t="str">
        <f t="shared" si="89"/>
        <v>14</v>
      </c>
      <c r="E1330" t="str">
        <f t="shared" si="88"/>
        <v>2243호14</v>
      </c>
    </row>
    <row r="1331" spans="1:5" ht="16.5" customHeight="1" x14ac:dyDescent="0.4">
      <c r="A1331">
        <v>224</v>
      </c>
      <c r="B1331" s="24">
        <v>1404</v>
      </c>
      <c r="C1331" t="str">
        <f t="shared" si="87"/>
        <v>4호</v>
      </c>
      <c r="D1331" t="str">
        <f t="shared" si="89"/>
        <v>14</v>
      </c>
      <c r="E1331" t="str">
        <f t="shared" si="88"/>
        <v>2244호14</v>
      </c>
    </row>
    <row r="1332" spans="1:5" ht="16.5" customHeight="1" x14ac:dyDescent="0.4">
      <c r="A1332">
        <v>224</v>
      </c>
      <c r="B1332" s="9">
        <v>1405</v>
      </c>
      <c r="C1332" t="str">
        <f t="shared" si="87"/>
        <v>5호</v>
      </c>
      <c r="D1332" t="str">
        <f t="shared" si="89"/>
        <v>14</v>
      </c>
      <c r="E1332" t="str">
        <f t="shared" si="88"/>
        <v>2245호14</v>
      </c>
    </row>
    <row r="1333" spans="1:5" ht="16.5" customHeight="1" x14ac:dyDescent="0.4">
      <c r="A1333">
        <v>225</v>
      </c>
      <c r="B1333" s="9">
        <v>101</v>
      </c>
      <c r="C1333" t="str">
        <f t="shared" si="87"/>
        <v>1호</v>
      </c>
      <c r="D1333" t="str">
        <f t="shared" ref="D1333:D1368" si="90">LEFT(B1333,1)</f>
        <v>1</v>
      </c>
      <c r="E1333" t="str">
        <f t="shared" si="88"/>
        <v>2251호1</v>
      </c>
    </row>
    <row r="1334" spans="1:5" ht="16.5" customHeight="1" x14ac:dyDescent="0.4">
      <c r="A1334">
        <v>225</v>
      </c>
      <c r="B1334" s="9">
        <v>102</v>
      </c>
      <c r="C1334" t="str">
        <f t="shared" si="87"/>
        <v>2호</v>
      </c>
      <c r="D1334" t="str">
        <f t="shared" si="90"/>
        <v>1</v>
      </c>
      <c r="E1334" t="str">
        <f t="shared" si="88"/>
        <v>2252호1</v>
      </c>
    </row>
    <row r="1335" spans="1:5" ht="16.5" customHeight="1" x14ac:dyDescent="0.4">
      <c r="A1335">
        <v>225</v>
      </c>
      <c r="B1335" s="9">
        <v>103</v>
      </c>
      <c r="C1335" t="str">
        <f t="shared" si="87"/>
        <v>3호</v>
      </c>
      <c r="D1335" t="str">
        <f t="shared" si="90"/>
        <v>1</v>
      </c>
      <c r="E1335" t="str">
        <f t="shared" si="88"/>
        <v>2253호1</v>
      </c>
    </row>
    <row r="1336" spans="1:5" ht="16.5" customHeight="1" x14ac:dyDescent="0.4">
      <c r="A1336">
        <v>225</v>
      </c>
      <c r="B1336" s="9">
        <v>104</v>
      </c>
      <c r="C1336" t="str">
        <f t="shared" si="87"/>
        <v>4호</v>
      </c>
      <c r="D1336" t="str">
        <f t="shared" si="90"/>
        <v>1</v>
      </c>
      <c r="E1336" t="str">
        <f t="shared" si="88"/>
        <v>2254호1</v>
      </c>
    </row>
    <row r="1337" spans="1:5" ht="16.5" customHeight="1" x14ac:dyDescent="0.4">
      <c r="A1337">
        <v>225</v>
      </c>
      <c r="B1337" s="9">
        <v>201</v>
      </c>
      <c r="C1337" t="str">
        <f t="shared" si="87"/>
        <v>1호</v>
      </c>
      <c r="D1337" t="str">
        <f t="shared" si="90"/>
        <v>2</v>
      </c>
      <c r="E1337" t="str">
        <f t="shared" si="88"/>
        <v>2251호2</v>
      </c>
    </row>
    <row r="1338" spans="1:5" ht="16.5" customHeight="1" x14ac:dyDescent="0.4">
      <c r="A1338">
        <v>225</v>
      </c>
      <c r="B1338" s="9">
        <v>202</v>
      </c>
      <c r="C1338" t="str">
        <f t="shared" si="87"/>
        <v>2호</v>
      </c>
      <c r="D1338" t="str">
        <f t="shared" si="90"/>
        <v>2</v>
      </c>
      <c r="E1338" t="str">
        <f t="shared" si="88"/>
        <v>2252호2</v>
      </c>
    </row>
    <row r="1339" spans="1:5" ht="16.5" customHeight="1" x14ac:dyDescent="0.4">
      <c r="A1339">
        <v>225</v>
      </c>
      <c r="B1339" s="9">
        <v>203</v>
      </c>
      <c r="C1339" t="str">
        <f t="shared" si="87"/>
        <v>3호</v>
      </c>
      <c r="D1339" t="str">
        <f t="shared" si="90"/>
        <v>2</v>
      </c>
      <c r="E1339" t="str">
        <f t="shared" si="88"/>
        <v>2253호2</v>
      </c>
    </row>
    <row r="1340" spans="1:5" ht="16.5" customHeight="1" x14ac:dyDescent="0.4">
      <c r="A1340">
        <v>225</v>
      </c>
      <c r="B1340" s="9">
        <v>204</v>
      </c>
      <c r="C1340" t="str">
        <f t="shared" si="87"/>
        <v>4호</v>
      </c>
      <c r="D1340" t="str">
        <f t="shared" si="90"/>
        <v>2</v>
      </c>
      <c r="E1340" t="str">
        <f t="shared" si="88"/>
        <v>2254호2</v>
      </c>
    </row>
    <row r="1341" spans="1:5" ht="16.5" customHeight="1" x14ac:dyDescent="0.4">
      <c r="A1341">
        <v>225</v>
      </c>
      <c r="B1341" s="9">
        <v>301</v>
      </c>
      <c r="C1341" t="str">
        <f t="shared" si="87"/>
        <v>1호</v>
      </c>
      <c r="D1341" t="str">
        <f t="shared" si="90"/>
        <v>3</v>
      </c>
      <c r="E1341" t="str">
        <f t="shared" si="88"/>
        <v>2251호3</v>
      </c>
    </row>
    <row r="1342" spans="1:5" ht="16.5" customHeight="1" x14ac:dyDescent="0.4">
      <c r="A1342">
        <v>225</v>
      </c>
      <c r="B1342" s="9">
        <v>302</v>
      </c>
      <c r="C1342" t="str">
        <f t="shared" si="87"/>
        <v>2호</v>
      </c>
      <c r="D1342" t="str">
        <f t="shared" si="90"/>
        <v>3</v>
      </c>
      <c r="E1342" t="str">
        <f t="shared" si="88"/>
        <v>2252호3</v>
      </c>
    </row>
    <row r="1343" spans="1:5" ht="16.5" customHeight="1" x14ac:dyDescent="0.4">
      <c r="A1343">
        <v>225</v>
      </c>
      <c r="B1343" s="9">
        <v>303</v>
      </c>
      <c r="C1343" t="str">
        <f t="shared" si="87"/>
        <v>3호</v>
      </c>
      <c r="D1343" t="str">
        <f t="shared" si="90"/>
        <v>3</v>
      </c>
      <c r="E1343" t="str">
        <f t="shared" si="88"/>
        <v>2253호3</v>
      </c>
    </row>
    <row r="1344" spans="1:5" ht="16.5" customHeight="1" x14ac:dyDescent="0.4">
      <c r="A1344">
        <v>225</v>
      </c>
      <c r="B1344" s="9">
        <v>304</v>
      </c>
      <c r="C1344" t="str">
        <f t="shared" si="87"/>
        <v>4호</v>
      </c>
      <c r="D1344" t="str">
        <f t="shared" si="90"/>
        <v>3</v>
      </c>
      <c r="E1344" t="str">
        <f t="shared" si="88"/>
        <v>2254호3</v>
      </c>
    </row>
    <row r="1345" spans="1:5" ht="16.5" customHeight="1" x14ac:dyDescent="0.4">
      <c r="A1345">
        <v>225</v>
      </c>
      <c r="B1345" s="22">
        <v>401</v>
      </c>
      <c r="C1345" t="str">
        <f t="shared" si="87"/>
        <v>1호</v>
      </c>
      <c r="D1345" t="str">
        <f t="shared" si="90"/>
        <v>4</v>
      </c>
      <c r="E1345" t="str">
        <f t="shared" si="88"/>
        <v>2251호4</v>
      </c>
    </row>
    <row r="1346" spans="1:5" ht="16.5" customHeight="1" x14ac:dyDescent="0.4">
      <c r="A1346">
        <v>225</v>
      </c>
      <c r="B1346" s="11">
        <v>402</v>
      </c>
      <c r="C1346" t="str">
        <f t="shared" si="87"/>
        <v>2호</v>
      </c>
      <c r="D1346" t="str">
        <f t="shared" si="90"/>
        <v>4</v>
      </c>
      <c r="E1346" t="str">
        <f t="shared" si="88"/>
        <v>2252호4</v>
      </c>
    </row>
    <row r="1347" spans="1:5" ht="16.5" customHeight="1" x14ac:dyDescent="0.4">
      <c r="A1347">
        <v>225</v>
      </c>
      <c r="B1347" s="11">
        <v>403</v>
      </c>
      <c r="C1347" t="str">
        <f t="shared" si="87"/>
        <v>3호</v>
      </c>
      <c r="D1347" t="str">
        <f t="shared" si="90"/>
        <v>4</v>
      </c>
      <c r="E1347" t="str">
        <f t="shared" si="88"/>
        <v>2253호4</v>
      </c>
    </row>
    <row r="1348" spans="1:5" ht="16.5" customHeight="1" x14ac:dyDescent="0.4">
      <c r="A1348">
        <v>225</v>
      </c>
      <c r="B1348" s="11">
        <v>404</v>
      </c>
      <c r="C1348" t="str">
        <f t="shared" ref="C1348:C1411" si="91">RIGHT(B1348,1)&amp;"호"</f>
        <v>4호</v>
      </c>
      <c r="D1348" t="str">
        <f t="shared" si="90"/>
        <v>4</v>
      </c>
      <c r="E1348" t="str">
        <f t="shared" ref="E1348:E1411" si="92">A1348&amp;C1348&amp;D1348</f>
        <v>2254호4</v>
      </c>
    </row>
    <row r="1349" spans="1:5" ht="16.5" customHeight="1" x14ac:dyDescent="0.4">
      <c r="A1349">
        <v>225</v>
      </c>
      <c r="B1349" s="11">
        <v>501</v>
      </c>
      <c r="C1349" t="str">
        <f t="shared" si="91"/>
        <v>1호</v>
      </c>
      <c r="D1349" t="str">
        <f t="shared" si="90"/>
        <v>5</v>
      </c>
      <c r="E1349" t="str">
        <f t="shared" si="92"/>
        <v>2251호5</v>
      </c>
    </row>
    <row r="1350" spans="1:5" ht="16.5" customHeight="1" x14ac:dyDescent="0.4">
      <c r="A1350">
        <v>225</v>
      </c>
      <c r="B1350" s="11">
        <v>502</v>
      </c>
      <c r="C1350" t="str">
        <f t="shared" si="91"/>
        <v>2호</v>
      </c>
      <c r="D1350" t="str">
        <f t="shared" si="90"/>
        <v>5</v>
      </c>
      <c r="E1350" t="str">
        <f t="shared" si="92"/>
        <v>2252호5</v>
      </c>
    </row>
    <row r="1351" spans="1:5" ht="16.5" customHeight="1" x14ac:dyDescent="0.4">
      <c r="A1351">
        <v>225</v>
      </c>
      <c r="B1351" s="11">
        <v>503</v>
      </c>
      <c r="C1351" t="str">
        <f t="shared" si="91"/>
        <v>3호</v>
      </c>
      <c r="D1351" t="str">
        <f t="shared" si="90"/>
        <v>5</v>
      </c>
      <c r="E1351" t="str">
        <f t="shared" si="92"/>
        <v>2253호5</v>
      </c>
    </row>
    <row r="1352" spans="1:5" ht="16.5" customHeight="1" x14ac:dyDescent="0.4">
      <c r="A1352">
        <v>225</v>
      </c>
      <c r="B1352" s="11">
        <v>504</v>
      </c>
      <c r="C1352" t="str">
        <f t="shared" si="91"/>
        <v>4호</v>
      </c>
      <c r="D1352" t="str">
        <f t="shared" si="90"/>
        <v>5</v>
      </c>
      <c r="E1352" t="str">
        <f t="shared" si="92"/>
        <v>2254호5</v>
      </c>
    </row>
    <row r="1353" spans="1:5" ht="16.5" customHeight="1" x14ac:dyDescent="0.4">
      <c r="A1353">
        <v>225</v>
      </c>
      <c r="B1353" s="11">
        <v>601</v>
      </c>
      <c r="C1353" t="str">
        <f t="shared" si="91"/>
        <v>1호</v>
      </c>
      <c r="D1353" t="str">
        <f t="shared" si="90"/>
        <v>6</v>
      </c>
      <c r="E1353" t="str">
        <f t="shared" si="92"/>
        <v>2251호6</v>
      </c>
    </row>
    <row r="1354" spans="1:5" ht="16.5" customHeight="1" x14ac:dyDescent="0.4">
      <c r="A1354">
        <v>225</v>
      </c>
      <c r="B1354" s="11">
        <v>602</v>
      </c>
      <c r="C1354" t="str">
        <f t="shared" si="91"/>
        <v>2호</v>
      </c>
      <c r="D1354" t="str">
        <f t="shared" si="90"/>
        <v>6</v>
      </c>
      <c r="E1354" t="str">
        <f t="shared" si="92"/>
        <v>2252호6</v>
      </c>
    </row>
    <row r="1355" spans="1:5" ht="16.5" customHeight="1" x14ac:dyDescent="0.4">
      <c r="A1355">
        <v>225</v>
      </c>
      <c r="B1355" s="11">
        <v>603</v>
      </c>
      <c r="C1355" t="str">
        <f t="shared" si="91"/>
        <v>3호</v>
      </c>
      <c r="D1355" t="str">
        <f t="shared" si="90"/>
        <v>6</v>
      </c>
      <c r="E1355" t="str">
        <f t="shared" si="92"/>
        <v>2253호6</v>
      </c>
    </row>
    <row r="1356" spans="1:5" ht="16.5" customHeight="1" x14ac:dyDescent="0.4">
      <c r="A1356">
        <v>225</v>
      </c>
      <c r="B1356" s="11">
        <v>604</v>
      </c>
      <c r="C1356" t="str">
        <f t="shared" si="91"/>
        <v>4호</v>
      </c>
      <c r="D1356" t="str">
        <f t="shared" si="90"/>
        <v>6</v>
      </c>
      <c r="E1356" t="str">
        <f t="shared" si="92"/>
        <v>2254호6</v>
      </c>
    </row>
    <row r="1357" spans="1:5" ht="16.5" customHeight="1" x14ac:dyDescent="0.4">
      <c r="A1357">
        <v>225</v>
      </c>
      <c r="B1357" s="11">
        <v>701</v>
      </c>
      <c r="C1357" t="str">
        <f t="shared" si="91"/>
        <v>1호</v>
      </c>
      <c r="D1357" t="str">
        <f t="shared" si="90"/>
        <v>7</v>
      </c>
      <c r="E1357" t="str">
        <f t="shared" si="92"/>
        <v>2251호7</v>
      </c>
    </row>
    <row r="1358" spans="1:5" ht="16.5" customHeight="1" x14ac:dyDescent="0.4">
      <c r="A1358">
        <v>225</v>
      </c>
      <c r="B1358" s="11">
        <v>702</v>
      </c>
      <c r="C1358" t="str">
        <f t="shared" si="91"/>
        <v>2호</v>
      </c>
      <c r="D1358" t="str">
        <f t="shared" si="90"/>
        <v>7</v>
      </c>
      <c r="E1358" t="str">
        <f t="shared" si="92"/>
        <v>2252호7</v>
      </c>
    </row>
    <row r="1359" spans="1:5" ht="16.5" customHeight="1" x14ac:dyDescent="0.4">
      <c r="A1359">
        <v>225</v>
      </c>
      <c r="B1359" s="24">
        <v>703</v>
      </c>
      <c r="C1359" t="str">
        <f t="shared" si="91"/>
        <v>3호</v>
      </c>
      <c r="D1359" t="str">
        <f t="shared" si="90"/>
        <v>7</v>
      </c>
      <c r="E1359" t="str">
        <f t="shared" si="92"/>
        <v>2253호7</v>
      </c>
    </row>
    <row r="1360" spans="1:5" ht="16.5" customHeight="1" x14ac:dyDescent="0.4">
      <c r="A1360">
        <v>225</v>
      </c>
      <c r="B1360" s="11">
        <v>704</v>
      </c>
      <c r="C1360" t="str">
        <f t="shared" si="91"/>
        <v>4호</v>
      </c>
      <c r="D1360" t="str">
        <f t="shared" si="90"/>
        <v>7</v>
      </c>
      <c r="E1360" t="str">
        <f t="shared" si="92"/>
        <v>2254호7</v>
      </c>
    </row>
    <row r="1361" spans="1:5" ht="16.5" customHeight="1" x14ac:dyDescent="0.4">
      <c r="A1361">
        <v>225</v>
      </c>
      <c r="B1361" s="11">
        <v>801</v>
      </c>
      <c r="C1361" t="str">
        <f t="shared" si="91"/>
        <v>1호</v>
      </c>
      <c r="D1361" t="str">
        <f t="shared" si="90"/>
        <v>8</v>
      </c>
      <c r="E1361" t="str">
        <f t="shared" si="92"/>
        <v>2251호8</v>
      </c>
    </row>
    <row r="1362" spans="1:5" ht="16.5" customHeight="1" x14ac:dyDescent="0.4">
      <c r="A1362">
        <v>225</v>
      </c>
      <c r="B1362" s="11">
        <v>802</v>
      </c>
      <c r="C1362" t="str">
        <f t="shared" si="91"/>
        <v>2호</v>
      </c>
      <c r="D1362" t="str">
        <f t="shared" si="90"/>
        <v>8</v>
      </c>
      <c r="E1362" t="str">
        <f t="shared" si="92"/>
        <v>2252호8</v>
      </c>
    </row>
    <row r="1363" spans="1:5" ht="16.5" customHeight="1" x14ac:dyDescent="0.4">
      <c r="A1363">
        <v>225</v>
      </c>
      <c r="B1363" s="11">
        <v>803</v>
      </c>
      <c r="C1363" t="str">
        <f t="shared" si="91"/>
        <v>3호</v>
      </c>
      <c r="D1363" t="str">
        <f t="shared" si="90"/>
        <v>8</v>
      </c>
      <c r="E1363" t="str">
        <f t="shared" si="92"/>
        <v>2253호8</v>
      </c>
    </row>
    <row r="1364" spans="1:5" ht="16.5" customHeight="1" x14ac:dyDescent="0.4">
      <c r="A1364">
        <v>225</v>
      </c>
      <c r="B1364" s="11">
        <v>804</v>
      </c>
      <c r="C1364" t="str">
        <f t="shared" si="91"/>
        <v>4호</v>
      </c>
      <c r="D1364" t="str">
        <f t="shared" si="90"/>
        <v>8</v>
      </c>
      <c r="E1364" t="str">
        <f t="shared" si="92"/>
        <v>2254호8</v>
      </c>
    </row>
    <row r="1365" spans="1:5" ht="16.5" customHeight="1" x14ac:dyDescent="0.4">
      <c r="A1365">
        <v>225</v>
      </c>
      <c r="B1365" s="11">
        <v>901</v>
      </c>
      <c r="C1365" t="str">
        <f t="shared" si="91"/>
        <v>1호</v>
      </c>
      <c r="D1365" t="str">
        <f t="shared" si="90"/>
        <v>9</v>
      </c>
      <c r="E1365" t="str">
        <f t="shared" si="92"/>
        <v>2251호9</v>
      </c>
    </row>
    <row r="1366" spans="1:5" ht="16.5" customHeight="1" x14ac:dyDescent="0.4">
      <c r="A1366">
        <v>225</v>
      </c>
      <c r="B1366" s="11">
        <v>902</v>
      </c>
      <c r="C1366" t="str">
        <f t="shared" si="91"/>
        <v>2호</v>
      </c>
      <c r="D1366" t="str">
        <f t="shared" si="90"/>
        <v>9</v>
      </c>
      <c r="E1366" t="str">
        <f t="shared" si="92"/>
        <v>2252호9</v>
      </c>
    </row>
    <row r="1367" spans="1:5" ht="16.5" customHeight="1" x14ac:dyDescent="0.4">
      <c r="A1367">
        <v>225</v>
      </c>
      <c r="B1367" s="11">
        <v>903</v>
      </c>
      <c r="C1367" t="str">
        <f t="shared" si="91"/>
        <v>3호</v>
      </c>
      <c r="D1367" t="str">
        <f t="shared" si="90"/>
        <v>9</v>
      </c>
      <c r="E1367" t="str">
        <f t="shared" si="92"/>
        <v>2253호9</v>
      </c>
    </row>
    <row r="1368" spans="1:5" ht="16.5" customHeight="1" x14ac:dyDescent="0.4">
      <c r="A1368">
        <v>225</v>
      </c>
      <c r="B1368" s="11">
        <v>904</v>
      </c>
      <c r="C1368" t="str">
        <f t="shared" si="91"/>
        <v>4호</v>
      </c>
      <c r="D1368" t="str">
        <f t="shared" si="90"/>
        <v>9</v>
      </c>
      <c r="E1368" t="str">
        <f t="shared" si="92"/>
        <v>2254호9</v>
      </c>
    </row>
    <row r="1369" spans="1:5" ht="16.5" customHeight="1" x14ac:dyDescent="0.4">
      <c r="A1369">
        <v>225</v>
      </c>
      <c r="B1369" s="11">
        <v>1001</v>
      </c>
      <c r="C1369" t="str">
        <f t="shared" si="91"/>
        <v>1호</v>
      </c>
      <c r="D1369" t="str">
        <f t="shared" ref="D1369:D1388" si="93">LEFT(B1369,2)</f>
        <v>10</v>
      </c>
      <c r="E1369" t="str">
        <f t="shared" si="92"/>
        <v>2251호10</v>
      </c>
    </row>
    <row r="1370" spans="1:5" ht="16.5" customHeight="1" x14ac:dyDescent="0.4">
      <c r="A1370">
        <v>225</v>
      </c>
      <c r="B1370" s="11">
        <v>1002</v>
      </c>
      <c r="C1370" t="str">
        <f t="shared" si="91"/>
        <v>2호</v>
      </c>
      <c r="D1370" t="str">
        <f t="shared" si="93"/>
        <v>10</v>
      </c>
      <c r="E1370" t="str">
        <f t="shared" si="92"/>
        <v>2252호10</v>
      </c>
    </row>
    <row r="1371" spans="1:5" ht="16.5" customHeight="1" x14ac:dyDescent="0.4">
      <c r="A1371">
        <v>225</v>
      </c>
      <c r="B1371" s="11">
        <v>1003</v>
      </c>
      <c r="C1371" t="str">
        <f t="shared" si="91"/>
        <v>3호</v>
      </c>
      <c r="D1371" t="str">
        <f t="shared" si="93"/>
        <v>10</v>
      </c>
      <c r="E1371" t="str">
        <f t="shared" si="92"/>
        <v>2253호10</v>
      </c>
    </row>
    <row r="1372" spans="1:5" ht="16.5" customHeight="1" x14ac:dyDescent="0.4">
      <c r="A1372">
        <v>225</v>
      </c>
      <c r="B1372" s="11">
        <v>1004</v>
      </c>
      <c r="C1372" t="str">
        <f t="shared" si="91"/>
        <v>4호</v>
      </c>
      <c r="D1372" t="str">
        <f t="shared" si="93"/>
        <v>10</v>
      </c>
      <c r="E1372" t="str">
        <f t="shared" si="92"/>
        <v>2254호10</v>
      </c>
    </row>
    <row r="1373" spans="1:5" ht="16.5" customHeight="1" x14ac:dyDescent="0.4">
      <c r="A1373">
        <v>225</v>
      </c>
      <c r="B1373" s="24">
        <v>1101</v>
      </c>
      <c r="C1373" t="str">
        <f t="shared" si="91"/>
        <v>1호</v>
      </c>
      <c r="D1373" t="str">
        <f t="shared" si="93"/>
        <v>11</v>
      </c>
      <c r="E1373" t="str">
        <f t="shared" si="92"/>
        <v>2251호11</v>
      </c>
    </row>
    <row r="1374" spans="1:5" ht="16.5" customHeight="1" x14ac:dyDescent="0.4">
      <c r="A1374">
        <v>225</v>
      </c>
      <c r="B1374" s="11">
        <v>1102</v>
      </c>
      <c r="C1374" t="str">
        <f t="shared" si="91"/>
        <v>2호</v>
      </c>
      <c r="D1374" t="str">
        <f t="shared" si="93"/>
        <v>11</v>
      </c>
      <c r="E1374" t="str">
        <f t="shared" si="92"/>
        <v>2252호11</v>
      </c>
    </row>
    <row r="1375" spans="1:5" ht="16.5" customHeight="1" x14ac:dyDescent="0.4">
      <c r="A1375">
        <v>225</v>
      </c>
      <c r="B1375" s="11">
        <v>1103</v>
      </c>
      <c r="C1375" t="str">
        <f t="shared" si="91"/>
        <v>3호</v>
      </c>
      <c r="D1375" t="str">
        <f t="shared" si="93"/>
        <v>11</v>
      </c>
      <c r="E1375" t="str">
        <f t="shared" si="92"/>
        <v>2253호11</v>
      </c>
    </row>
    <row r="1376" spans="1:5" ht="16.5" customHeight="1" x14ac:dyDescent="0.4">
      <c r="A1376">
        <v>225</v>
      </c>
      <c r="B1376" s="11">
        <v>1104</v>
      </c>
      <c r="C1376" t="str">
        <f t="shared" si="91"/>
        <v>4호</v>
      </c>
      <c r="D1376" t="str">
        <f t="shared" si="93"/>
        <v>11</v>
      </c>
      <c r="E1376" t="str">
        <f t="shared" si="92"/>
        <v>2254호11</v>
      </c>
    </row>
    <row r="1377" spans="1:5" ht="16.5" customHeight="1" x14ac:dyDescent="0.4">
      <c r="A1377">
        <v>225</v>
      </c>
      <c r="B1377" s="11">
        <v>1201</v>
      </c>
      <c r="C1377" t="str">
        <f t="shared" si="91"/>
        <v>1호</v>
      </c>
      <c r="D1377" t="str">
        <f t="shared" si="93"/>
        <v>12</v>
      </c>
      <c r="E1377" t="str">
        <f t="shared" si="92"/>
        <v>2251호12</v>
      </c>
    </row>
    <row r="1378" spans="1:5" ht="16.5" customHeight="1" x14ac:dyDescent="0.4">
      <c r="A1378">
        <v>225</v>
      </c>
      <c r="B1378" s="11">
        <v>1202</v>
      </c>
      <c r="C1378" t="str">
        <f t="shared" si="91"/>
        <v>2호</v>
      </c>
      <c r="D1378" t="str">
        <f t="shared" si="93"/>
        <v>12</v>
      </c>
      <c r="E1378" t="str">
        <f t="shared" si="92"/>
        <v>2252호12</v>
      </c>
    </row>
    <row r="1379" spans="1:5" ht="16.5" customHeight="1" x14ac:dyDescent="0.4">
      <c r="A1379">
        <v>225</v>
      </c>
      <c r="B1379" s="11">
        <v>1203</v>
      </c>
      <c r="C1379" t="str">
        <f t="shared" si="91"/>
        <v>3호</v>
      </c>
      <c r="D1379" t="str">
        <f t="shared" si="93"/>
        <v>12</v>
      </c>
      <c r="E1379" t="str">
        <f t="shared" si="92"/>
        <v>2253호12</v>
      </c>
    </row>
    <row r="1380" spans="1:5" ht="16.5" customHeight="1" x14ac:dyDescent="0.4">
      <c r="A1380">
        <v>225</v>
      </c>
      <c r="B1380" s="11">
        <v>1204</v>
      </c>
      <c r="C1380" t="str">
        <f t="shared" si="91"/>
        <v>4호</v>
      </c>
      <c r="D1380" t="str">
        <f t="shared" si="93"/>
        <v>12</v>
      </c>
      <c r="E1380" t="str">
        <f t="shared" si="92"/>
        <v>2254호12</v>
      </c>
    </row>
    <row r="1381" spans="1:5" ht="16.5" customHeight="1" x14ac:dyDescent="0.4">
      <c r="A1381">
        <v>225</v>
      </c>
      <c r="B1381" s="11">
        <v>1301</v>
      </c>
      <c r="C1381" t="str">
        <f t="shared" si="91"/>
        <v>1호</v>
      </c>
      <c r="D1381" t="str">
        <f t="shared" si="93"/>
        <v>13</v>
      </c>
      <c r="E1381" t="str">
        <f t="shared" si="92"/>
        <v>2251호13</v>
      </c>
    </row>
    <row r="1382" spans="1:5" ht="16.5" customHeight="1" x14ac:dyDescent="0.4">
      <c r="A1382">
        <v>225</v>
      </c>
      <c r="B1382" s="11">
        <v>1302</v>
      </c>
      <c r="C1382" t="str">
        <f t="shared" si="91"/>
        <v>2호</v>
      </c>
      <c r="D1382" t="str">
        <f t="shared" si="93"/>
        <v>13</v>
      </c>
      <c r="E1382" t="str">
        <f t="shared" si="92"/>
        <v>2252호13</v>
      </c>
    </row>
    <row r="1383" spans="1:5" ht="16.5" customHeight="1" x14ac:dyDescent="0.4">
      <c r="A1383">
        <v>225</v>
      </c>
      <c r="B1383" s="11">
        <v>1303</v>
      </c>
      <c r="C1383" t="str">
        <f t="shared" si="91"/>
        <v>3호</v>
      </c>
      <c r="D1383" t="str">
        <f t="shared" si="93"/>
        <v>13</v>
      </c>
      <c r="E1383" t="str">
        <f t="shared" si="92"/>
        <v>2253호13</v>
      </c>
    </row>
    <row r="1384" spans="1:5" ht="16.5" customHeight="1" x14ac:dyDescent="0.4">
      <c r="A1384">
        <v>225</v>
      </c>
      <c r="B1384" s="11">
        <v>1304</v>
      </c>
      <c r="C1384" t="str">
        <f t="shared" si="91"/>
        <v>4호</v>
      </c>
      <c r="D1384" t="str">
        <f t="shared" si="93"/>
        <v>13</v>
      </c>
      <c r="E1384" t="str">
        <f t="shared" si="92"/>
        <v>2254호13</v>
      </c>
    </row>
    <row r="1385" spans="1:5" ht="16.5" customHeight="1" x14ac:dyDescent="0.4">
      <c r="A1385">
        <v>225</v>
      </c>
      <c r="B1385" s="11">
        <v>1401</v>
      </c>
      <c r="C1385" t="str">
        <f t="shared" si="91"/>
        <v>1호</v>
      </c>
      <c r="D1385" t="str">
        <f t="shared" si="93"/>
        <v>14</v>
      </c>
      <c r="E1385" t="str">
        <f t="shared" si="92"/>
        <v>2251호14</v>
      </c>
    </row>
    <row r="1386" spans="1:5" ht="16.5" customHeight="1" x14ac:dyDescent="0.4">
      <c r="A1386">
        <v>225</v>
      </c>
      <c r="B1386" s="11">
        <v>1402</v>
      </c>
      <c r="C1386" t="str">
        <f t="shared" si="91"/>
        <v>2호</v>
      </c>
      <c r="D1386" t="str">
        <f t="shared" si="93"/>
        <v>14</v>
      </c>
      <c r="E1386" t="str">
        <f t="shared" si="92"/>
        <v>2252호14</v>
      </c>
    </row>
    <row r="1387" spans="1:5" ht="16.5" customHeight="1" x14ac:dyDescent="0.4">
      <c r="A1387">
        <v>225</v>
      </c>
      <c r="B1387" s="24">
        <v>1403</v>
      </c>
      <c r="C1387" t="str">
        <f t="shared" si="91"/>
        <v>3호</v>
      </c>
      <c r="D1387" t="str">
        <f t="shared" si="93"/>
        <v>14</v>
      </c>
      <c r="E1387" t="str">
        <f t="shared" si="92"/>
        <v>2253호14</v>
      </c>
    </row>
    <row r="1388" spans="1:5" ht="16.5" customHeight="1" x14ac:dyDescent="0.4">
      <c r="A1388">
        <v>225</v>
      </c>
      <c r="B1388" s="9">
        <v>1404</v>
      </c>
      <c r="C1388" t="str">
        <f t="shared" si="91"/>
        <v>4호</v>
      </c>
      <c r="D1388" t="str">
        <f t="shared" si="93"/>
        <v>14</v>
      </c>
      <c r="E1388" t="str">
        <f t="shared" si="92"/>
        <v>2254호14</v>
      </c>
    </row>
    <row r="1389" spans="1:5" ht="16.5" customHeight="1" x14ac:dyDescent="0.4">
      <c r="A1389">
        <v>226</v>
      </c>
      <c r="B1389" s="9">
        <v>101</v>
      </c>
      <c r="C1389" t="str">
        <f t="shared" si="91"/>
        <v>1호</v>
      </c>
      <c r="D1389" t="str">
        <f t="shared" ref="D1389:D1433" si="94">LEFT(B1389,1)</f>
        <v>1</v>
      </c>
      <c r="E1389" t="str">
        <f t="shared" si="92"/>
        <v>2261호1</v>
      </c>
    </row>
    <row r="1390" spans="1:5" ht="16.5" customHeight="1" x14ac:dyDescent="0.4">
      <c r="A1390">
        <v>226</v>
      </c>
      <c r="B1390" s="9">
        <v>102</v>
      </c>
      <c r="C1390" t="str">
        <f t="shared" si="91"/>
        <v>2호</v>
      </c>
      <c r="D1390" t="str">
        <f t="shared" si="94"/>
        <v>1</v>
      </c>
      <c r="E1390" t="str">
        <f t="shared" si="92"/>
        <v>2262호1</v>
      </c>
    </row>
    <row r="1391" spans="1:5" ht="16.5" customHeight="1" x14ac:dyDescent="0.4">
      <c r="A1391">
        <v>226</v>
      </c>
      <c r="B1391" s="9">
        <v>103</v>
      </c>
      <c r="C1391" t="str">
        <f t="shared" si="91"/>
        <v>3호</v>
      </c>
      <c r="D1391" t="str">
        <f t="shared" si="94"/>
        <v>1</v>
      </c>
      <c r="E1391" t="str">
        <f t="shared" si="92"/>
        <v>2263호1</v>
      </c>
    </row>
    <row r="1392" spans="1:5" ht="16.5" customHeight="1" x14ac:dyDescent="0.4">
      <c r="A1392">
        <v>226</v>
      </c>
      <c r="B1392" s="9">
        <v>104</v>
      </c>
      <c r="C1392" t="str">
        <f t="shared" si="91"/>
        <v>4호</v>
      </c>
      <c r="D1392" t="str">
        <f t="shared" si="94"/>
        <v>1</v>
      </c>
      <c r="E1392" t="str">
        <f t="shared" si="92"/>
        <v>2264호1</v>
      </c>
    </row>
    <row r="1393" spans="1:5" ht="16.5" customHeight="1" x14ac:dyDescent="0.4">
      <c r="A1393">
        <v>226</v>
      </c>
      <c r="B1393" s="9">
        <v>105</v>
      </c>
      <c r="C1393" t="str">
        <f t="shared" si="91"/>
        <v>5호</v>
      </c>
      <c r="D1393" t="str">
        <f t="shared" si="94"/>
        <v>1</v>
      </c>
      <c r="E1393" t="str">
        <f t="shared" si="92"/>
        <v>2265호1</v>
      </c>
    </row>
    <row r="1394" spans="1:5" ht="16.5" customHeight="1" x14ac:dyDescent="0.4">
      <c r="A1394">
        <v>226</v>
      </c>
      <c r="B1394" s="9">
        <v>201</v>
      </c>
      <c r="C1394" t="str">
        <f t="shared" si="91"/>
        <v>1호</v>
      </c>
      <c r="D1394" t="str">
        <f t="shared" si="94"/>
        <v>2</v>
      </c>
      <c r="E1394" t="str">
        <f t="shared" si="92"/>
        <v>2261호2</v>
      </c>
    </row>
    <row r="1395" spans="1:5" ht="16.5" customHeight="1" x14ac:dyDescent="0.4">
      <c r="A1395">
        <v>226</v>
      </c>
      <c r="B1395" s="9">
        <v>202</v>
      </c>
      <c r="C1395" t="str">
        <f t="shared" si="91"/>
        <v>2호</v>
      </c>
      <c r="D1395" t="str">
        <f t="shared" si="94"/>
        <v>2</v>
      </c>
      <c r="E1395" t="str">
        <f t="shared" si="92"/>
        <v>2262호2</v>
      </c>
    </row>
    <row r="1396" spans="1:5" ht="16.5" customHeight="1" x14ac:dyDescent="0.4">
      <c r="A1396">
        <v>226</v>
      </c>
      <c r="B1396" s="9">
        <v>203</v>
      </c>
      <c r="C1396" t="str">
        <f t="shared" si="91"/>
        <v>3호</v>
      </c>
      <c r="D1396" t="str">
        <f t="shared" si="94"/>
        <v>2</v>
      </c>
      <c r="E1396" t="str">
        <f t="shared" si="92"/>
        <v>2263호2</v>
      </c>
    </row>
    <row r="1397" spans="1:5" ht="16.5" customHeight="1" x14ac:dyDescent="0.4">
      <c r="A1397">
        <v>226</v>
      </c>
      <c r="B1397" s="9">
        <v>204</v>
      </c>
      <c r="C1397" t="str">
        <f t="shared" si="91"/>
        <v>4호</v>
      </c>
      <c r="D1397" t="str">
        <f t="shared" si="94"/>
        <v>2</v>
      </c>
      <c r="E1397" t="str">
        <f t="shared" si="92"/>
        <v>2264호2</v>
      </c>
    </row>
    <row r="1398" spans="1:5" ht="16.5" customHeight="1" x14ac:dyDescent="0.4">
      <c r="A1398">
        <v>226</v>
      </c>
      <c r="B1398" s="22">
        <v>205</v>
      </c>
      <c r="C1398" t="str">
        <f t="shared" si="91"/>
        <v>5호</v>
      </c>
      <c r="D1398" t="str">
        <f t="shared" si="94"/>
        <v>2</v>
      </c>
      <c r="E1398" t="str">
        <f t="shared" si="92"/>
        <v>2265호2</v>
      </c>
    </row>
    <row r="1399" spans="1:5" ht="16.5" customHeight="1" x14ac:dyDescent="0.4">
      <c r="A1399">
        <v>226</v>
      </c>
      <c r="B1399" s="11">
        <v>301</v>
      </c>
      <c r="C1399" t="str">
        <f t="shared" si="91"/>
        <v>1호</v>
      </c>
      <c r="D1399" t="str">
        <f t="shared" si="94"/>
        <v>3</v>
      </c>
      <c r="E1399" t="str">
        <f t="shared" si="92"/>
        <v>2261호3</v>
      </c>
    </row>
    <row r="1400" spans="1:5" ht="16.5" customHeight="1" x14ac:dyDescent="0.4">
      <c r="A1400">
        <v>226</v>
      </c>
      <c r="B1400" s="11">
        <v>302</v>
      </c>
      <c r="C1400" t="str">
        <f t="shared" si="91"/>
        <v>2호</v>
      </c>
      <c r="D1400" t="str">
        <f t="shared" si="94"/>
        <v>3</v>
      </c>
      <c r="E1400" t="str">
        <f t="shared" si="92"/>
        <v>2262호3</v>
      </c>
    </row>
    <row r="1401" spans="1:5" ht="16.5" customHeight="1" x14ac:dyDescent="0.4">
      <c r="A1401">
        <v>226</v>
      </c>
      <c r="B1401" s="11">
        <v>303</v>
      </c>
      <c r="C1401" t="str">
        <f t="shared" si="91"/>
        <v>3호</v>
      </c>
      <c r="D1401" t="str">
        <f t="shared" si="94"/>
        <v>3</v>
      </c>
      <c r="E1401" t="str">
        <f t="shared" si="92"/>
        <v>2263호3</v>
      </c>
    </row>
    <row r="1402" spans="1:5" ht="16.5" customHeight="1" x14ac:dyDescent="0.4">
      <c r="A1402">
        <v>226</v>
      </c>
      <c r="B1402" s="11">
        <v>304</v>
      </c>
      <c r="C1402" t="str">
        <f t="shared" si="91"/>
        <v>4호</v>
      </c>
      <c r="D1402" t="str">
        <f t="shared" si="94"/>
        <v>3</v>
      </c>
      <c r="E1402" t="str">
        <f t="shared" si="92"/>
        <v>2264호3</v>
      </c>
    </row>
    <row r="1403" spans="1:5" ht="16.5" customHeight="1" x14ac:dyDescent="0.4">
      <c r="A1403">
        <v>226</v>
      </c>
      <c r="B1403" s="11">
        <v>305</v>
      </c>
      <c r="C1403" t="str">
        <f t="shared" si="91"/>
        <v>5호</v>
      </c>
      <c r="D1403" t="str">
        <f t="shared" si="94"/>
        <v>3</v>
      </c>
      <c r="E1403" t="str">
        <f t="shared" si="92"/>
        <v>2265호3</v>
      </c>
    </row>
    <row r="1404" spans="1:5" ht="16.5" customHeight="1" x14ac:dyDescent="0.4">
      <c r="A1404">
        <v>226</v>
      </c>
      <c r="B1404" s="11">
        <v>401</v>
      </c>
      <c r="C1404" t="str">
        <f t="shared" si="91"/>
        <v>1호</v>
      </c>
      <c r="D1404" t="str">
        <f t="shared" si="94"/>
        <v>4</v>
      </c>
      <c r="E1404" t="str">
        <f t="shared" si="92"/>
        <v>2261호4</v>
      </c>
    </row>
    <row r="1405" spans="1:5" ht="16.5" customHeight="1" x14ac:dyDescent="0.4">
      <c r="A1405">
        <v>226</v>
      </c>
      <c r="B1405" s="11">
        <v>402</v>
      </c>
      <c r="C1405" t="str">
        <f t="shared" si="91"/>
        <v>2호</v>
      </c>
      <c r="D1405" t="str">
        <f t="shared" si="94"/>
        <v>4</v>
      </c>
      <c r="E1405" t="str">
        <f t="shared" si="92"/>
        <v>2262호4</v>
      </c>
    </row>
    <row r="1406" spans="1:5" ht="16.5" customHeight="1" x14ac:dyDescent="0.4">
      <c r="A1406">
        <v>226</v>
      </c>
      <c r="B1406" s="11">
        <v>403</v>
      </c>
      <c r="C1406" t="str">
        <f t="shared" si="91"/>
        <v>3호</v>
      </c>
      <c r="D1406" t="str">
        <f t="shared" si="94"/>
        <v>4</v>
      </c>
      <c r="E1406" t="str">
        <f t="shared" si="92"/>
        <v>2263호4</v>
      </c>
    </row>
    <row r="1407" spans="1:5" ht="16.5" customHeight="1" x14ac:dyDescent="0.4">
      <c r="A1407">
        <v>226</v>
      </c>
      <c r="B1407" s="11">
        <v>404</v>
      </c>
      <c r="C1407" t="str">
        <f t="shared" si="91"/>
        <v>4호</v>
      </c>
      <c r="D1407" t="str">
        <f t="shared" si="94"/>
        <v>4</v>
      </c>
      <c r="E1407" t="str">
        <f t="shared" si="92"/>
        <v>2264호4</v>
      </c>
    </row>
    <row r="1408" spans="1:5" ht="16.5" customHeight="1" x14ac:dyDescent="0.4">
      <c r="A1408">
        <v>226</v>
      </c>
      <c r="B1408" s="11">
        <v>405</v>
      </c>
      <c r="C1408" t="str">
        <f t="shared" si="91"/>
        <v>5호</v>
      </c>
      <c r="D1408" t="str">
        <f t="shared" si="94"/>
        <v>4</v>
      </c>
      <c r="E1408" t="str">
        <f t="shared" si="92"/>
        <v>2265호4</v>
      </c>
    </row>
    <row r="1409" spans="1:5" ht="16.5" customHeight="1" x14ac:dyDescent="0.4">
      <c r="A1409">
        <v>226</v>
      </c>
      <c r="B1409" s="24">
        <v>501</v>
      </c>
      <c r="C1409" t="str">
        <f t="shared" si="91"/>
        <v>1호</v>
      </c>
      <c r="D1409" t="str">
        <f t="shared" si="94"/>
        <v>5</v>
      </c>
      <c r="E1409" t="str">
        <f t="shared" si="92"/>
        <v>2261호5</v>
      </c>
    </row>
    <row r="1410" spans="1:5" ht="16.5" customHeight="1" x14ac:dyDescent="0.4">
      <c r="A1410">
        <v>226</v>
      </c>
      <c r="B1410" s="11">
        <v>502</v>
      </c>
      <c r="C1410" t="str">
        <f t="shared" si="91"/>
        <v>2호</v>
      </c>
      <c r="D1410" t="str">
        <f t="shared" si="94"/>
        <v>5</v>
      </c>
      <c r="E1410" t="str">
        <f t="shared" si="92"/>
        <v>2262호5</v>
      </c>
    </row>
    <row r="1411" spans="1:5" ht="16.5" customHeight="1" x14ac:dyDescent="0.4">
      <c r="A1411">
        <v>226</v>
      </c>
      <c r="B1411" s="11">
        <v>503</v>
      </c>
      <c r="C1411" t="str">
        <f t="shared" si="91"/>
        <v>3호</v>
      </c>
      <c r="D1411" t="str">
        <f t="shared" si="94"/>
        <v>5</v>
      </c>
      <c r="E1411" t="str">
        <f t="shared" si="92"/>
        <v>2263호5</v>
      </c>
    </row>
    <row r="1412" spans="1:5" ht="16.5" customHeight="1" x14ac:dyDescent="0.4">
      <c r="A1412">
        <v>226</v>
      </c>
      <c r="B1412" s="11">
        <v>504</v>
      </c>
      <c r="C1412" t="str">
        <f t="shared" ref="C1412:C1472" si="95">RIGHT(B1412,1)&amp;"호"</f>
        <v>4호</v>
      </c>
      <c r="D1412" t="str">
        <f t="shared" si="94"/>
        <v>5</v>
      </c>
      <c r="E1412" t="str">
        <f t="shared" ref="E1412:E1472" si="96">A1412&amp;C1412&amp;D1412</f>
        <v>2264호5</v>
      </c>
    </row>
    <row r="1413" spans="1:5" ht="16.5" customHeight="1" x14ac:dyDescent="0.4">
      <c r="A1413">
        <v>226</v>
      </c>
      <c r="B1413" s="11">
        <v>505</v>
      </c>
      <c r="C1413" t="str">
        <f t="shared" si="95"/>
        <v>5호</v>
      </c>
      <c r="D1413" t="str">
        <f t="shared" si="94"/>
        <v>5</v>
      </c>
      <c r="E1413" t="str">
        <f t="shared" si="96"/>
        <v>2265호5</v>
      </c>
    </row>
    <row r="1414" spans="1:5" ht="16.5" customHeight="1" x14ac:dyDescent="0.4">
      <c r="A1414">
        <v>226</v>
      </c>
      <c r="B1414" s="11">
        <v>601</v>
      </c>
      <c r="C1414" t="str">
        <f t="shared" si="95"/>
        <v>1호</v>
      </c>
      <c r="D1414" t="str">
        <f t="shared" si="94"/>
        <v>6</v>
      </c>
      <c r="E1414" t="str">
        <f t="shared" si="96"/>
        <v>2261호6</v>
      </c>
    </row>
    <row r="1415" spans="1:5" ht="16.5" customHeight="1" x14ac:dyDescent="0.4">
      <c r="A1415">
        <v>226</v>
      </c>
      <c r="B1415" s="11">
        <v>602</v>
      </c>
      <c r="C1415" t="str">
        <f t="shared" si="95"/>
        <v>2호</v>
      </c>
      <c r="D1415" t="str">
        <f t="shared" si="94"/>
        <v>6</v>
      </c>
      <c r="E1415" t="str">
        <f t="shared" si="96"/>
        <v>2262호6</v>
      </c>
    </row>
    <row r="1416" spans="1:5" ht="16.5" customHeight="1" x14ac:dyDescent="0.4">
      <c r="A1416">
        <v>226</v>
      </c>
      <c r="B1416" s="11">
        <v>603</v>
      </c>
      <c r="C1416" t="str">
        <f t="shared" si="95"/>
        <v>3호</v>
      </c>
      <c r="D1416" t="str">
        <f t="shared" si="94"/>
        <v>6</v>
      </c>
      <c r="E1416" t="str">
        <f t="shared" si="96"/>
        <v>2263호6</v>
      </c>
    </row>
    <row r="1417" spans="1:5" ht="16.5" customHeight="1" x14ac:dyDescent="0.4">
      <c r="A1417">
        <v>226</v>
      </c>
      <c r="B1417" s="11">
        <v>604</v>
      </c>
      <c r="C1417" t="str">
        <f t="shared" si="95"/>
        <v>4호</v>
      </c>
      <c r="D1417" t="str">
        <f t="shared" si="94"/>
        <v>6</v>
      </c>
      <c r="E1417" t="str">
        <f t="shared" si="96"/>
        <v>2264호6</v>
      </c>
    </row>
    <row r="1418" spans="1:5" ht="16.5" customHeight="1" x14ac:dyDescent="0.4">
      <c r="A1418">
        <v>226</v>
      </c>
      <c r="B1418" s="11">
        <v>605</v>
      </c>
      <c r="C1418" t="str">
        <f t="shared" si="95"/>
        <v>5호</v>
      </c>
      <c r="D1418" t="str">
        <f t="shared" si="94"/>
        <v>6</v>
      </c>
      <c r="E1418" t="str">
        <f t="shared" si="96"/>
        <v>2265호6</v>
      </c>
    </row>
    <row r="1419" spans="1:5" ht="16.5" customHeight="1" x14ac:dyDescent="0.4">
      <c r="A1419">
        <v>226</v>
      </c>
      <c r="B1419" s="11">
        <v>701</v>
      </c>
      <c r="C1419" t="str">
        <f t="shared" si="95"/>
        <v>1호</v>
      </c>
      <c r="D1419" t="str">
        <f t="shared" si="94"/>
        <v>7</v>
      </c>
      <c r="E1419" t="str">
        <f t="shared" si="96"/>
        <v>2261호7</v>
      </c>
    </row>
    <row r="1420" spans="1:5" ht="16.5" customHeight="1" x14ac:dyDescent="0.4">
      <c r="A1420">
        <v>226</v>
      </c>
      <c r="B1420" s="11">
        <v>702</v>
      </c>
      <c r="C1420" t="str">
        <f t="shared" si="95"/>
        <v>2호</v>
      </c>
      <c r="D1420" t="str">
        <f t="shared" si="94"/>
        <v>7</v>
      </c>
      <c r="E1420" t="str">
        <f t="shared" si="96"/>
        <v>2262호7</v>
      </c>
    </row>
    <row r="1421" spans="1:5" ht="16.5" customHeight="1" x14ac:dyDescent="0.4">
      <c r="A1421">
        <v>226</v>
      </c>
      <c r="B1421" s="24">
        <v>703</v>
      </c>
      <c r="C1421" t="str">
        <f t="shared" si="95"/>
        <v>3호</v>
      </c>
      <c r="D1421" t="str">
        <f t="shared" si="94"/>
        <v>7</v>
      </c>
      <c r="E1421" t="str">
        <f t="shared" si="96"/>
        <v>2263호7</v>
      </c>
    </row>
    <row r="1422" spans="1:5" ht="16.5" customHeight="1" x14ac:dyDescent="0.4">
      <c r="A1422">
        <v>226</v>
      </c>
      <c r="B1422" s="11">
        <v>704</v>
      </c>
      <c r="C1422" t="str">
        <f t="shared" si="95"/>
        <v>4호</v>
      </c>
      <c r="D1422" t="str">
        <f t="shared" si="94"/>
        <v>7</v>
      </c>
      <c r="E1422" t="str">
        <f t="shared" si="96"/>
        <v>2264호7</v>
      </c>
    </row>
    <row r="1423" spans="1:5" ht="16.5" customHeight="1" x14ac:dyDescent="0.4">
      <c r="A1423">
        <v>226</v>
      </c>
      <c r="B1423" s="11">
        <v>705</v>
      </c>
      <c r="C1423" t="str">
        <f t="shared" si="95"/>
        <v>5호</v>
      </c>
      <c r="D1423" t="str">
        <f t="shared" si="94"/>
        <v>7</v>
      </c>
      <c r="E1423" t="str">
        <f t="shared" si="96"/>
        <v>2265호7</v>
      </c>
    </row>
    <row r="1424" spans="1:5" ht="16.5" customHeight="1" x14ac:dyDescent="0.4">
      <c r="A1424">
        <v>226</v>
      </c>
      <c r="B1424" s="11">
        <v>801</v>
      </c>
      <c r="C1424" t="str">
        <f t="shared" si="95"/>
        <v>1호</v>
      </c>
      <c r="D1424" t="str">
        <f t="shared" si="94"/>
        <v>8</v>
      </c>
      <c r="E1424" t="str">
        <f t="shared" si="96"/>
        <v>2261호8</v>
      </c>
    </row>
    <row r="1425" spans="1:5" ht="16.5" customHeight="1" x14ac:dyDescent="0.4">
      <c r="A1425">
        <v>226</v>
      </c>
      <c r="B1425" s="11">
        <v>802</v>
      </c>
      <c r="C1425" t="str">
        <f t="shared" si="95"/>
        <v>2호</v>
      </c>
      <c r="D1425" t="str">
        <f t="shared" si="94"/>
        <v>8</v>
      </c>
      <c r="E1425" t="str">
        <f t="shared" si="96"/>
        <v>2262호8</v>
      </c>
    </row>
    <row r="1426" spans="1:5" ht="16.5" customHeight="1" x14ac:dyDescent="0.4">
      <c r="A1426">
        <v>226</v>
      </c>
      <c r="B1426" s="11">
        <v>803</v>
      </c>
      <c r="C1426" t="str">
        <f t="shared" si="95"/>
        <v>3호</v>
      </c>
      <c r="D1426" t="str">
        <f t="shared" si="94"/>
        <v>8</v>
      </c>
      <c r="E1426" t="str">
        <f t="shared" si="96"/>
        <v>2263호8</v>
      </c>
    </row>
    <row r="1427" spans="1:5" ht="16.5" customHeight="1" x14ac:dyDescent="0.4">
      <c r="A1427">
        <v>226</v>
      </c>
      <c r="B1427" s="11">
        <v>804</v>
      </c>
      <c r="C1427" t="str">
        <f t="shared" si="95"/>
        <v>4호</v>
      </c>
      <c r="D1427" t="str">
        <f t="shared" si="94"/>
        <v>8</v>
      </c>
      <c r="E1427" t="str">
        <f t="shared" si="96"/>
        <v>2264호8</v>
      </c>
    </row>
    <row r="1428" spans="1:5" ht="16.5" customHeight="1" x14ac:dyDescent="0.4">
      <c r="A1428">
        <v>226</v>
      </c>
      <c r="B1428" s="11">
        <v>805</v>
      </c>
      <c r="C1428" t="str">
        <f t="shared" si="95"/>
        <v>5호</v>
      </c>
      <c r="D1428" t="str">
        <f t="shared" si="94"/>
        <v>8</v>
      </c>
      <c r="E1428" t="str">
        <f t="shared" si="96"/>
        <v>2265호8</v>
      </c>
    </row>
    <row r="1429" spans="1:5" ht="16.5" customHeight="1" x14ac:dyDescent="0.4">
      <c r="A1429">
        <v>226</v>
      </c>
      <c r="B1429" s="11">
        <v>901</v>
      </c>
      <c r="C1429" t="str">
        <f t="shared" si="95"/>
        <v>1호</v>
      </c>
      <c r="D1429" t="str">
        <f t="shared" si="94"/>
        <v>9</v>
      </c>
      <c r="E1429" t="str">
        <f t="shared" si="96"/>
        <v>2261호9</v>
      </c>
    </row>
    <row r="1430" spans="1:5" ht="16.5" customHeight="1" x14ac:dyDescent="0.4">
      <c r="A1430">
        <v>226</v>
      </c>
      <c r="B1430" s="11">
        <v>902</v>
      </c>
      <c r="C1430" t="str">
        <f t="shared" si="95"/>
        <v>2호</v>
      </c>
      <c r="D1430" t="str">
        <f t="shared" si="94"/>
        <v>9</v>
      </c>
      <c r="E1430" t="str">
        <f t="shared" si="96"/>
        <v>2262호9</v>
      </c>
    </row>
    <row r="1431" spans="1:5" ht="16.5" customHeight="1" x14ac:dyDescent="0.4">
      <c r="A1431">
        <v>226</v>
      </c>
      <c r="B1431" s="11">
        <v>903</v>
      </c>
      <c r="C1431" t="str">
        <f t="shared" si="95"/>
        <v>3호</v>
      </c>
      <c r="D1431" t="str">
        <f t="shared" si="94"/>
        <v>9</v>
      </c>
      <c r="E1431" t="str">
        <f t="shared" si="96"/>
        <v>2263호9</v>
      </c>
    </row>
    <row r="1432" spans="1:5" ht="16.5" customHeight="1" x14ac:dyDescent="0.4">
      <c r="A1432">
        <v>226</v>
      </c>
      <c r="B1432" s="11">
        <v>904</v>
      </c>
      <c r="C1432" t="str">
        <f t="shared" si="95"/>
        <v>4호</v>
      </c>
      <c r="D1432" t="str">
        <f t="shared" si="94"/>
        <v>9</v>
      </c>
      <c r="E1432" t="str">
        <f t="shared" si="96"/>
        <v>2264호9</v>
      </c>
    </row>
    <row r="1433" spans="1:5" ht="16.5" customHeight="1" x14ac:dyDescent="0.4">
      <c r="A1433">
        <v>226</v>
      </c>
      <c r="B1433" s="11">
        <v>905</v>
      </c>
      <c r="C1433" t="str">
        <f t="shared" si="95"/>
        <v>5호</v>
      </c>
      <c r="D1433" t="str">
        <f t="shared" si="94"/>
        <v>9</v>
      </c>
      <c r="E1433" t="str">
        <f t="shared" si="96"/>
        <v>2265호9</v>
      </c>
    </row>
    <row r="1434" spans="1:5" ht="16.5" customHeight="1" x14ac:dyDescent="0.4">
      <c r="A1434">
        <v>226</v>
      </c>
      <c r="B1434" s="11">
        <v>1001</v>
      </c>
      <c r="C1434" t="str">
        <f t="shared" si="95"/>
        <v>1호</v>
      </c>
      <c r="D1434" t="str">
        <f t="shared" ref="D1434:D1450" si="97">LEFT(B1434,2)</f>
        <v>10</v>
      </c>
      <c r="E1434" t="str">
        <f t="shared" si="96"/>
        <v>2261호10</v>
      </c>
    </row>
    <row r="1435" spans="1:5" ht="16.5" customHeight="1" x14ac:dyDescent="0.4">
      <c r="A1435">
        <v>226</v>
      </c>
      <c r="B1435" s="24">
        <v>1002</v>
      </c>
      <c r="C1435" t="str">
        <f t="shared" si="95"/>
        <v>2호</v>
      </c>
      <c r="D1435" t="str">
        <f t="shared" si="97"/>
        <v>10</v>
      </c>
      <c r="E1435" t="str">
        <f t="shared" si="96"/>
        <v>2262호10</v>
      </c>
    </row>
    <row r="1436" spans="1:5" ht="16.5" customHeight="1" x14ac:dyDescent="0.4">
      <c r="A1436">
        <v>226</v>
      </c>
      <c r="B1436" s="11">
        <v>1003</v>
      </c>
      <c r="C1436" t="str">
        <f t="shared" si="95"/>
        <v>3호</v>
      </c>
      <c r="D1436" t="str">
        <f t="shared" si="97"/>
        <v>10</v>
      </c>
      <c r="E1436" t="str">
        <f t="shared" si="96"/>
        <v>2263호10</v>
      </c>
    </row>
    <row r="1437" spans="1:5" ht="16.5" customHeight="1" x14ac:dyDescent="0.4">
      <c r="A1437">
        <v>226</v>
      </c>
      <c r="B1437" s="11">
        <v>1004</v>
      </c>
      <c r="C1437" t="str">
        <f t="shared" si="95"/>
        <v>4호</v>
      </c>
      <c r="D1437" t="str">
        <f t="shared" si="97"/>
        <v>10</v>
      </c>
      <c r="E1437" t="str">
        <f t="shared" si="96"/>
        <v>2264호10</v>
      </c>
    </row>
    <row r="1438" spans="1:5" ht="16.5" customHeight="1" x14ac:dyDescent="0.4">
      <c r="A1438">
        <v>226</v>
      </c>
      <c r="B1438" s="11">
        <v>1005</v>
      </c>
      <c r="C1438" t="str">
        <f t="shared" si="95"/>
        <v>5호</v>
      </c>
      <c r="D1438" t="str">
        <f t="shared" si="97"/>
        <v>10</v>
      </c>
      <c r="E1438" t="str">
        <f t="shared" si="96"/>
        <v>2265호10</v>
      </c>
    </row>
    <row r="1439" spans="1:5" ht="16.5" customHeight="1" x14ac:dyDescent="0.4">
      <c r="A1439">
        <v>226</v>
      </c>
      <c r="B1439" s="11">
        <v>1101</v>
      </c>
      <c r="C1439" t="str">
        <f t="shared" si="95"/>
        <v>1호</v>
      </c>
      <c r="D1439" t="str">
        <f t="shared" si="97"/>
        <v>11</v>
      </c>
      <c r="E1439" t="str">
        <f t="shared" si="96"/>
        <v>2261호11</v>
      </c>
    </row>
    <row r="1440" spans="1:5" ht="16.5" customHeight="1" x14ac:dyDescent="0.4">
      <c r="A1440">
        <v>226</v>
      </c>
      <c r="B1440" s="11">
        <v>1102</v>
      </c>
      <c r="C1440" t="str">
        <f t="shared" si="95"/>
        <v>2호</v>
      </c>
      <c r="D1440" t="str">
        <f t="shared" si="97"/>
        <v>11</v>
      </c>
      <c r="E1440" t="str">
        <f t="shared" si="96"/>
        <v>2262호11</v>
      </c>
    </row>
    <row r="1441" spans="1:5" ht="16.5" customHeight="1" x14ac:dyDescent="0.4">
      <c r="A1441">
        <v>226</v>
      </c>
      <c r="B1441" s="11">
        <v>1103</v>
      </c>
      <c r="C1441" t="str">
        <f t="shared" si="95"/>
        <v>3호</v>
      </c>
      <c r="D1441" t="str">
        <f t="shared" si="97"/>
        <v>11</v>
      </c>
      <c r="E1441" t="str">
        <f t="shared" si="96"/>
        <v>2263호11</v>
      </c>
    </row>
    <row r="1442" spans="1:5" ht="16.5" customHeight="1" x14ac:dyDescent="0.4">
      <c r="A1442">
        <v>226</v>
      </c>
      <c r="B1442" s="11">
        <v>1104</v>
      </c>
      <c r="C1442" t="str">
        <f t="shared" si="95"/>
        <v>4호</v>
      </c>
      <c r="D1442" t="str">
        <f t="shared" si="97"/>
        <v>11</v>
      </c>
      <c r="E1442" t="str">
        <f t="shared" si="96"/>
        <v>2264호11</v>
      </c>
    </row>
    <row r="1443" spans="1:5" ht="16.5" customHeight="1" x14ac:dyDescent="0.4">
      <c r="A1443">
        <v>226</v>
      </c>
      <c r="B1443" s="11">
        <v>1105</v>
      </c>
      <c r="C1443" t="str">
        <f t="shared" si="95"/>
        <v>5호</v>
      </c>
      <c r="D1443" t="str">
        <f t="shared" si="97"/>
        <v>11</v>
      </c>
      <c r="E1443" t="str">
        <f t="shared" si="96"/>
        <v>2265호11</v>
      </c>
    </row>
    <row r="1444" spans="1:5" ht="16.5" customHeight="1" x14ac:dyDescent="0.4">
      <c r="A1444">
        <v>226</v>
      </c>
      <c r="B1444" s="11">
        <v>1203</v>
      </c>
      <c r="C1444" t="str">
        <f t="shared" si="95"/>
        <v>3호</v>
      </c>
      <c r="D1444" t="str">
        <f t="shared" si="97"/>
        <v>12</v>
      </c>
      <c r="E1444" t="str">
        <f t="shared" si="96"/>
        <v>2263호12</v>
      </c>
    </row>
    <row r="1445" spans="1:5" ht="16.5" customHeight="1" x14ac:dyDescent="0.4">
      <c r="A1445">
        <v>226</v>
      </c>
      <c r="B1445" s="11">
        <v>1204</v>
      </c>
      <c r="C1445" t="str">
        <f t="shared" si="95"/>
        <v>4호</v>
      </c>
      <c r="D1445" t="str">
        <f t="shared" si="97"/>
        <v>12</v>
      </c>
      <c r="E1445" t="str">
        <f t="shared" si="96"/>
        <v>2264호12</v>
      </c>
    </row>
    <row r="1446" spans="1:5" ht="16.5" customHeight="1" x14ac:dyDescent="0.4">
      <c r="A1446">
        <v>226</v>
      </c>
      <c r="B1446" s="11">
        <v>1205</v>
      </c>
      <c r="C1446" t="str">
        <f t="shared" si="95"/>
        <v>5호</v>
      </c>
      <c r="D1446" t="str">
        <f t="shared" si="97"/>
        <v>12</v>
      </c>
      <c r="E1446" t="str">
        <f t="shared" si="96"/>
        <v>2265호12</v>
      </c>
    </row>
    <row r="1447" spans="1:5" ht="16.5" customHeight="1" x14ac:dyDescent="0.4">
      <c r="A1447">
        <v>226</v>
      </c>
      <c r="B1447" s="11">
        <v>1304</v>
      </c>
      <c r="C1447" t="str">
        <f t="shared" si="95"/>
        <v>4호</v>
      </c>
      <c r="D1447" t="str">
        <f t="shared" si="97"/>
        <v>13</v>
      </c>
      <c r="E1447" t="str">
        <f t="shared" si="96"/>
        <v>2264호13</v>
      </c>
    </row>
    <row r="1448" spans="1:5" ht="16.5" customHeight="1" x14ac:dyDescent="0.4">
      <c r="A1448">
        <v>226</v>
      </c>
      <c r="B1448" s="11">
        <v>1305</v>
      </c>
      <c r="C1448" t="str">
        <f t="shared" si="95"/>
        <v>5호</v>
      </c>
      <c r="D1448" t="str">
        <f t="shared" si="97"/>
        <v>13</v>
      </c>
      <c r="E1448" t="str">
        <f t="shared" si="96"/>
        <v>2265호13</v>
      </c>
    </row>
    <row r="1449" spans="1:5" ht="16.5" customHeight="1" x14ac:dyDescent="0.4">
      <c r="A1449">
        <v>226</v>
      </c>
      <c r="B1449" s="24">
        <v>1404</v>
      </c>
      <c r="C1449" t="str">
        <f t="shared" si="95"/>
        <v>4호</v>
      </c>
      <c r="D1449" t="str">
        <f t="shared" si="97"/>
        <v>14</v>
      </c>
      <c r="E1449" t="str">
        <f t="shared" si="96"/>
        <v>2264호14</v>
      </c>
    </row>
    <row r="1450" spans="1:5" ht="16.5" customHeight="1" x14ac:dyDescent="0.4">
      <c r="A1450">
        <v>226</v>
      </c>
      <c r="B1450" s="9">
        <v>1405</v>
      </c>
      <c r="C1450" t="str">
        <f t="shared" si="95"/>
        <v>5호</v>
      </c>
      <c r="D1450" t="str">
        <f t="shared" si="97"/>
        <v>14</v>
      </c>
      <c r="E1450" t="str">
        <f t="shared" si="96"/>
        <v>2265호14</v>
      </c>
    </row>
    <row r="1451" spans="1:5" ht="16.5" customHeight="1" x14ac:dyDescent="0.4">
      <c r="A1451">
        <v>227</v>
      </c>
      <c r="B1451" s="9">
        <v>101</v>
      </c>
      <c r="C1451" t="str">
        <f t="shared" si="95"/>
        <v>1호</v>
      </c>
      <c r="D1451" t="str">
        <f t="shared" ref="D1451:D1468" si="98">LEFT(B1451,1)</f>
        <v>1</v>
      </c>
      <c r="E1451" t="str">
        <f t="shared" si="96"/>
        <v>2271호1</v>
      </c>
    </row>
    <row r="1452" spans="1:5" ht="16.5" customHeight="1" x14ac:dyDescent="0.4">
      <c r="A1452">
        <v>227</v>
      </c>
      <c r="B1452" s="9">
        <v>102</v>
      </c>
      <c r="C1452" t="str">
        <f t="shared" si="95"/>
        <v>2호</v>
      </c>
      <c r="D1452" t="str">
        <f t="shared" si="98"/>
        <v>1</v>
      </c>
      <c r="E1452" t="str">
        <f t="shared" si="96"/>
        <v>2272호1</v>
      </c>
    </row>
    <row r="1453" spans="1:5" ht="16.5" customHeight="1" x14ac:dyDescent="0.4">
      <c r="A1453">
        <v>227</v>
      </c>
      <c r="B1453" s="9">
        <v>201</v>
      </c>
      <c r="C1453" t="str">
        <f t="shared" si="95"/>
        <v>1호</v>
      </c>
      <c r="D1453" t="str">
        <f t="shared" si="98"/>
        <v>2</v>
      </c>
      <c r="E1453" t="str">
        <f t="shared" si="96"/>
        <v>2271호2</v>
      </c>
    </row>
    <row r="1454" spans="1:5" ht="16.5" customHeight="1" x14ac:dyDescent="0.4">
      <c r="A1454">
        <v>227</v>
      </c>
      <c r="B1454" s="9">
        <v>202</v>
      </c>
      <c r="C1454" t="str">
        <f t="shared" si="95"/>
        <v>2호</v>
      </c>
      <c r="D1454" t="str">
        <f t="shared" si="98"/>
        <v>2</v>
      </c>
      <c r="E1454" t="str">
        <f t="shared" si="96"/>
        <v>2272호2</v>
      </c>
    </row>
    <row r="1455" spans="1:5" ht="16.5" customHeight="1" x14ac:dyDescent="0.4">
      <c r="A1455">
        <v>227</v>
      </c>
      <c r="B1455" s="9">
        <v>301</v>
      </c>
      <c r="C1455" t="str">
        <f t="shared" si="95"/>
        <v>1호</v>
      </c>
      <c r="D1455" t="str">
        <f t="shared" si="98"/>
        <v>3</v>
      </c>
      <c r="E1455" t="str">
        <f t="shared" si="96"/>
        <v>2271호3</v>
      </c>
    </row>
    <row r="1456" spans="1:5" ht="16.5" customHeight="1" x14ac:dyDescent="0.4">
      <c r="A1456">
        <v>227</v>
      </c>
      <c r="B1456" s="9">
        <v>302</v>
      </c>
      <c r="C1456" t="str">
        <f t="shared" si="95"/>
        <v>2호</v>
      </c>
      <c r="D1456" t="str">
        <f t="shared" si="98"/>
        <v>3</v>
      </c>
      <c r="E1456" t="str">
        <f t="shared" si="96"/>
        <v>2272호3</v>
      </c>
    </row>
    <row r="1457" spans="1:5" ht="16.5" customHeight="1" x14ac:dyDescent="0.4">
      <c r="A1457">
        <v>227</v>
      </c>
      <c r="B1457" s="9">
        <v>401</v>
      </c>
      <c r="C1457" t="str">
        <f t="shared" si="95"/>
        <v>1호</v>
      </c>
      <c r="D1457" t="str">
        <f t="shared" si="98"/>
        <v>4</v>
      </c>
      <c r="E1457" t="str">
        <f t="shared" si="96"/>
        <v>2271호4</v>
      </c>
    </row>
    <row r="1458" spans="1:5" ht="16.5" customHeight="1" x14ac:dyDescent="0.4">
      <c r="A1458">
        <v>227</v>
      </c>
      <c r="B1458" s="9">
        <v>402</v>
      </c>
      <c r="C1458" t="str">
        <f t="shared" si="95"/>
        <v>2호</v>
      </c>
      <c r="D1458" t="str">
        <f t="shared" si="98"/>
        <v>4</v>
      </c>
      <c r="E1458" t="str">
        <f t="shared" si="96"/>
        <v>2272호4</v>
      </c>
    </row>
    <row r="1459" spans="1:5" ht="16.5" customHeight="1" x14ac:dyDescent="0.4">
      <c r="A1459">
        <v>227</v>
      </c>
      <c r="B1459" s="9">
        <v>501</v>
      </c>
      <c r="C1459" t="str">
        <f t="shared" si="95"/>
        <v>1호</v>
      </c>
      <c r="D1459" t="str">
        <f t="shared" si="98"/>
        <v>5</v>
      </c>
      <c r="E1459" t="str">
        <f t="shared" si="96"/>
        <v>2271호5</v>
      </c>
    </row>
    <row r="1460" spans="1:5" ht="16.5" customHeight="1" x14ac:dyDescent="0.4">
      <c r="A1460">
        <v>227</v>
      </c>
      <c r="B1460" s="22">
        <v>502</v>
      </c>
      <c r="C1460" t="str">
        <f t="shared" si="95"/>
        <v>2호</v>
      </c>
      <c r="D1460" t="str">
        <f t="shared" si="98"/>
        <v>5</v>
      </c>
      <c r="E1460" t="str">
        <f t="shared" si="96"/>
        <v>2272호5</v>
      </c>
    </row>
    <row r="1461" spans="1:5" ht="16.5" customHeight="1" x14ac:dyDescent="0.4">
      <c r="A1461">
        <v>227</v>
      </c>
      <c r="B1461" s="11">
        <v>601</v>
      </c>
      <c r="C1461" t="str">
        <f t="shared" si="95"/>
        <v>1호</v>
      </c>
      <c r="D1461" t="str">
        <f t="shared" si="98"/>
        <v>6</v>
      </c>
      <c r="E1461" t="str">
        <f t="shared" si="96"/>
        <v>2271호6</v>
      </c>
    </row>
    <row r="1462" spans="1:5" ht="16.5" customHeight="1" x14ac:dyDescent="0.4">
      <c r="A1462">
        <v>227</v>
      </c>
      <c r="B1462" s="11">
        <v>602</v>
      </c>
      <c r="C1462" t="str">
        <f t="shared" si="95"/>
        <v>2호</v>
      </c>
      <c r="D1462" t="str">
        <f t="shared" si="98"/>
        <v>6</v>
      </c>
      <c r="E1462" t="str">
        <f t="shared" si="96"/>
        <v>2272호6</v>
      </c>
    </row>
    <row r="1463" spans="1:5" ht="16.5" customHeight="1" x14ac:dyDescent="0.4">
      <c r="A1463">
        <v>227</v>
      </c>
      <c r="B1463" s="11">
        <v>701</v>
      </c>
      <c r="C1463" t="str">
        <f t="shared" si="95"/>
        <v>1호</v>
      </c>
      <c r="D1463" t="str">
        <f t="shared" si="98"/>
        <v>7</v>
      </c>
      <c r="E1463" t="str">
        <f t="shared" si="96"/>
        <v>2271호7</v>
      </c>
    </row>
    <row r="1464" spans="1:5" ht="16.5" customHeight="1" x14ac:dyDescent="0.4">
      <c r="A1464">
        <v>227</v>
      </c>
      <c r="B1464" s="11">
        <v>702</v>
      </c>
      <c r="C1464" t="str">
        <f t="shared" si="95"/>
        <v>2호</v>
      </c>
      <c r="D1464" t="str">
        <f t="shared" si="98"/>
        <v>7</v>
      </c>
      <c r="E1464" t="str">
        <f t="shared" si="96"/>
        <v>2272호7</v>
      </c>
    </row>
    <row r="1465" spans="1:5" ht="16.5" customHeight="1" x14ac:dyDescent="0.4">
      <c r="A1465">
        <v>227</v>
      </c>
      <c r="B1465" s="11">
        <v>801</v>
      </c>
      <c r="C1465" t="str">
        <f t="shared" si="95"/>
        <v>1호</v>
      </c>
      <c r="D1465" t="str">
        <f t="shared" si="98"/>
        <v>8</v>
      </c>
      <c r="E1465" t="str">
        <f t="shared" si="96"/>
        <v>2271호8</v>
      </c>
    </row>
    <row r="1466" spans="1:5" ht="16.5" customHeight="1" x14ac:dyDescent="0.4">
      <c r="A1466">
        <v>227</v>
      </c>
      <c r="B1466" s="11">
        <v>802</v>
      </c>
      <c r="C1466" t="str">
        <f t="shared" si="95"/>
        <v>2호</v>
      </c>
      <c r="D1466" t="str">
        <f t="shared" si="98"/>
        <v>8</v>
      </c>
      <c r="E1466" t="str">
        <f t="shared" si="96"/>
        <v>2272호8</v>
      </c>
    </row>
    <row r="1467" spans="1:5" ht="16.5" customHeight="1" x14ac:dyDescent="0.4">
      <c r="A1467">
        <v>227</v>
      </c>
      <c r="B1467" s="11">
        <v>901</v>
      </c>
      <c r="C1467" t="str">
        <f t="shared" si="95"/>
        <v>1호</v>
      </c>
      <c r="D1467" t="str">
        <f t="shared" si="98"/>
        <v>9</v>
      </c>
      <c r="E1467" t="str">
        <f t="shared" si="96"/>
        <v>2271호9</v>
      </c>
    </row>
    <row r="1468" spans="1:5" ht="16.5" customHeight="1" x14ac:dyDescent="0.4">
      <c r="A1468">
        <v>227</v>
      </c>
      <c r="B1468" s="11">
        <v>902</v>
      </c>
      <c r="C1468" t="str">
        <f t="shared" si="95"/>
        <v>2호</v>
      </c>
      <c r="D1468" t="str">
        <f t="shared" si="98"/>
        <v>9</v>
      </c>
      <c r="E1468" t="str">
        <f t="shared" si="96"/>
        <v>2272호9</v>
      </c>
    </row>
    <row r="1469" spans="1:5" ht="16.5" customHeight="1" x14ac:dyDescent="0.4">
      <c r="A1469">
        <v>227</v>
      </c>
      <c r="B1469" s="11">
        <v>1001</v>
      </c>
      <c r="C1469" t="str">
        <f t="shared" si="95"/>
        <v>1호</v>
      </c>
      <c r="D1469" t="str">
        <f t="shared" ref="D1469:D1472" si="99">LEFT(B1469,2)</f>
        <v>10</v>
      </c>
      <c r="E1469" t="str">
        <f t="shared" si="96"/>
        <v>2271호10</v>
      </c>
    </row>
    <row r="1470" spans="1:5" ht="16.5" customHeight="1" x14ac:dyDescent="0.4">
      <c r="A1470">
        <v>227</v>
      </c>
      <c r="B1470" s="11">
        <v>1002</v>
      </c>
      <c r="C1470" t="str">
        <f t="shared" si="95"/>
        <v>2호</v>
      </c>
      <c r="D1470" t="str">
        <f t="shared" si="99"/>
        <v>10</v>
      </c>
      <c r="E1470" t="str">
        <f t="shared" si="96"/>
        <v>2272호10</v>
      </c>
    </row>
    <row r="1471" spans="1:5" ht="16.5" customHeight="1" x14ac:dyDescent="0.4">
      <c r="A1471">
        <v>227</v>
      </c>
      <c r="B1471" s="24">
        <v>1101</v>
      </c>
      <c r="C1471" t="str">
        <f t="shared" si="95"/>
        <v>1호</v>
      </c>
      <c r="D1471" t="str">
        <f t="shared" si="99"/>
        <v>11</v>
      </c>
      <c r="E1471" t="str">
        <f t="shared" si="96"/>
        <v>2271호11</v>
      </c>
    </row>
    <row r="1472" spans="1:5" x14ac:dyDescent="0.4">
      <c r="A1472">
        <v>227</v>
      </c>
      <c r="B1472" s="31">
        <v>1102</v>
      </c>
      <c r="C1472" t="str">
        <f t="shared" si="95"/>
        <v>2호</v>
      </c>
      <c r="D1472" t="str">
        <f t="shared" si="99"/>
        <v>11</v>
      </c>
      <c r="E1472" t="str">
        <f t="shared" si="96"/>
        <v>2272호11</v>
      </c>
    </row>
  </sheetData>
  <sortState xmlns:xlrd2="http://schemas.microsoft.com/office/spreadsheetml/2017/richdata2" ref="A3:F1472">
    <sortCondition ref="A3:A1472"/>
    <sortCondition ref="B3:B1472"/>
  </sortState>
  <phoneticPr fontId="2" type="noConversion"/>
  <conditionalFormatting sqref="B3:B40 B502:B529 B595:B634 B732:B764 B792:B827 B966:B1001 B1030:B1065 B1204:B1239 B1268:B1303 B1388:B1421 B1450:B1471">
    <cfRule type="expression" dxfId="41" priority="140">
      <formula>#REF!="가입"</formula>
    </cfRule>
  </conditionalFormatting>
  <conditionalFormatting sqref="B41:B54 B489:B501 B530:B538 B635:B647 B765:B777 B1472">
    <cfRule type="expression" dxfId="40" priority="132">
      <formula>$C41="가입"</formula>
    </cfRule>
  </conditionalFormatting>
  <conditionalFormatting sqref="B55:B96">
    <cfRule type="expression" dxfId="39" priority="129">
      <formula>#REF!="가입"</formula>
    </cfRule>
  </conditionalFormatting>
  <conditionalFormatting sqref="B97:B110">
    <cfRule type="expression" dxfId="38" priority="127">
      <formula>$C97="가입"</formula>
    </cfRule>
  </conditionalFormatting>
  <conditionalFormatting sqref="B111:B152">
    <cfRule type="expression" dxfId="37" priority="124">
      <formula>#REF!="가입"</formula>
    </cfRule>
  </conditionalFormatting>
  <conditionalFormatting sqref="B153:B166">
    <cfRule type="expression" dxfId="36" priority="122">
      <formula>$C153="가입"</formula>
    </cfRule>
  </conditionalFormatting>
  <conditionalFormatting sqref="B167:B208">
    <cfRule type="expression" dxfId="35" priority="119">
      <formula>#REF!="가입"</formula>
    </cfRule>
  </conditionalFormatting>
  <conditionalFormatting sqref="B209:B222">
    <cfRule type="expression" dxfId="34" priority="117">
      <formula>$C209="가입"</formula>
    </cfRule>
  </conditionalFormatting>
  <conditionalFormatting sqref="B223:B261">
    <cfRule type="expression" dxfId="33" priority="114">
      <formula>#REF!="가입"</formula>
    </cfRule>
  </conditionalFormatting>
  <conditionalFormatting sqref="B262:B275">
    <cfRule type="expression" dxfId="32" priority="112">
      <formula>$C262="가입"</formula>
    </cfRule>
  </conditionalFormatting>
  <conditionalFormatting sqref="B276:B317">
    <cfRule type="expression" dxfId="31" priority="109">
      <formula>#REF!="가입"</formula>
    </cfRule>
  </conditionalFormatting>
  <conditionalFormatting sqref="B318:B331">
    <cfRule type="expression" dxfId="30" priority="107">
      <formula>$C318="가입"</formula>
    </cfRule>
  </conditionalFormatting>
  <conditionalFormatting sqref="B332:B488">
    <cfRule type="expression" dxfId="29" priority="89">
      <formula>#REF!="가입"</formula>
    </cfRule>
  </conditionalFormatting>
  <conditionalFormatting sqref="B539:B580">
    <cfRule type="expression" dxfId="28" priority="79">
      <formula>#REF!="가입"</formula>
    </cfRule>
  </conditionalFormatting>
  <conditionalFormatting sqref="B581:B594">
    <cfRule type="expression" dxfId="27" priority="77">
      <formula>$C581="가입"</formula>
    </cfRule>
  </conditionalFormatting>
  <conditionalFormatting sqref="B648:B661">
    <cfRule type="expression" dxfId="26" priority="71">
      <formula>$E648="가입"</formula>
    </cfRule>
  </conditionalFormatting>
  <conditionalFormatting sqref="B662:B703">
    <cfRule type="expression" dxfId="25" priority="69">
      <formula>#REF!="가입"</formula>
    </cfRule>
  </conditionalFormatting>
  <conditionalFormatting sqref="B704:B717">
    <cfRule type="expression" dxfId="24" priority="67">
      <formula>$C704="가입"</formula>
    </cfRule>
  </conditionalFormatting>
  <conditionalFormatting sqref="B718:B731">
    <cfRule type="expression" dxfId="23" priority="66">
      <formula>$E718="가입"</formula>
    </cfRule>
  </conditionalFormatting>
  <conditionalFormatting sqref="B778:B791">
    <cfRule type="expression" dxfId="22" priority="61">
      <formula>$E778="가입"</formula>
    </cfRule>
  </conditionalFormatting>
  <conditionalFormatting sqref="B828:B841">
    <cfRule type="expression" dxfId="21" priority="57">
      <formula>$C828="가입"</formula>
    </cfRule>
  </conditionalFormatting>
  <conditionalFormatting sqref="B842:B855">
    <cfRule type="expression" dxfId="20" priority="56">
      <formula>$E842="가입"</formula>
    </cfRule>
  </conditionalFormatting>
  <conditionalFormatting sqref="B856:B897">
    <cfRule type="expression" dxfId="19" priority="54">
      <formula>#REF!="가입"</formula>
    </cfRule>
  </conditionalFormatting>
  <conditionalFormatting sqref="B898:B911">
    <cfRule type="expression" dxfId="18" priority="52">
      <formula>$C898="가입"</formula>
    </cfRule>
  </conditionalFormatting>
  <conditionalFormatting sqref="B912:B951">
    <cfRule type="expression" dxfId="17" priority="50">
      <formula>#REF!="가입"</formula>
    </cfRule>
  </conditionalFormatting>
  <conditionalFormatting sqref="B952:B965">
    <cfRule type="expression" dxfId="16" priority="47">
      <formula>$C952="가입"</formula>
    </cfRule>
  </conditionalFormatting>
  <conditionalFormatting sqref="B1002:B1015">
    <cfRule type="expression" dxfId="15" priority="42">
      <formula>$C1002="가입"</formula>
    </cfRule>
  </conditionalFormatting>
  <conditionalFormatting sqref="B1016:B1029">
    <cfRule type="expression" dxfId="14" priority="41">
      <formula>$E1016="가입"</formula>
    </cfRule>
  </conditionalFormatting>
  <conditionalFormatting sqref="B1066:B1079">
    <cfRule type="expression" dxfId="13" priority="37">
      <formula>$C1066="가입"</formula>
    </cfRule>
  </conditionalFormatting>
  <conditionalFormatting sqref="B1080:B1093">
    <cfRule type="expression" dxfId="12" priority="36">
      <formula>$E1080="가입"</formula>
    </cfRule>
  </conditionalFormatting>
  <conditionalFormatting sqref="B1094:B1134">
    <cfRule type="expression" dxfId="11" priority="35">
      <formula>#REF!="가입"</formula>
    </cfRule>
  </conditionalFormatting>
  <conditionalFormatting sqref="B1135:B1148">
    <cfRule type="expression" dxfId="10" priority="32">
      <formula>$C1135="가입"</formula>
    </cfRule>
  </conditionalFormatting>
  <conditionalFormatting sqref="B1149:B1189">
    <cfRule type="expression" dxfId="9" priority="30">
      <formula>#REF!="가입"</formula>
    </cfRule>
  </conditionalFormatting>
  <conditionalFormatting sqref="B1190:B1203">
    <cfRule type="expression" dxfId="8" priority="27">
      <formula>$C1190="가입"</formula>
    </cfRule>
  </conditionalFormatting>
  <conditionalFormatting sqref="B1240:B1253">
    <cfRule type="expression" dxfId="7" priority="22">
      <formula>$C1240="가입"</formula>
    </cfRule>
  </conditionalFormatting>
  <conditionalFormatting sqref="B1254:B1267">
    <cfRule type="expression" dxfId="6" priority="21">
      <formula>$E1254="가입"</formula>
    </cfRule>
  </conditionalFormatting>
  <conditionalFormatting sqref="B1304:B1317">
    <cfRule type="expression" dxfId="5" priority="17">
      <formula>$C1304="가입"</formula>
    </cfRule>
  </conditionalFormatting>
  <conditionalFormatting sqref="B1318:B1331">
    <cfRule type="expression" dxfId="4" priority="16">
      <formula>$E1318="가입"</formula>
    </cfRule>
  </conditionalFormatting>
  <conditionalFormatting sqref="B1332:B1373">
    <cfRule type="expression" dxfId="3" priority="14">
      <formula>#REF!="가입"</formula>
    </cfRule>
  </conditionalFormatting>
  <conditionalFormatting sqref="B1374:B1387">
    <cfRule type="expression" dxfId="2" priority="12">
      <formula>$C1374="가입"</formula>
    </cfRule>
  </conditionalFormatting>
  <conditionalFormatting sqref="B1422:B1435">
    <cfRule type="expression" dxfId="1" priority="7">
      <formula>$C1422="가입"</formula>
    </cfRule>
  </conditionalFormatting>
  <conditionalFormatting sqref="B1436:B1449">
    <cfRule type="expression" dxfId="0" priority="6">
      <formula>$E1436="가입"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주요사이트</vt:lpstr>
      <vt:lpstr>카페가입요약</vt:lpstr>
      <vt:lpstr>카페동별상세</vt:lpstr>
      <vt:lpstr>raw</vt:lpstr>
      <vt:lpstr>동호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공노민</dc:creator>
  <cp:lastModifiedBy>NH</cp:lastModifiedBy>
  <dcterms:created xsi:type="dcterms:W3CDTF">2024-02-17T04:36:55Z</dcterms:created>
  <dcterms:modified xsi:type="dcterms:W3CDTF">2026-04-09T10:42:00Z</dcterms:modified>
</cp:coreProperties>
</file>